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Characterization" sheetId="2" state="visible" r:id="rId4"/>
    <sheet name="Heat Map" sheetId="3" state="visible" r:id="rId5"/>
    <sheet name="Risk Assessment" sheetId="4" state="visible" r:id="rId6"/>
    <sheet name="_LOOKUPS" sheetId="5" state="visible" r:id="rId7"/>
    <sheet name="_FIRST_CVSS_MAP" sheetId="6" state="visible" r:id="rId8"/>
    <sheet name="_CHARACTERIZATION_CALCS" sheetId="7" state="visible" r:id="rId9"/>
  </sheets>
  <definedNames>
    <definedName function="false" hidden="true" localSheetId="3" name="_xlnm._FilterDatabase" vbProcedure="false">'Risk Assessment'!$A$2:$AM$8</definedName>
    <definedName function="false" hidden="false" name="Character_MAC" vbProcedure="false">Characterization!$D$18:$D$20</definedName>
    <definedName function="false" hidden="false" name="Character_MAV" vbProcedure="false">Characterization!$D$7:$D$10</definedName>
    <definedName function="false" hidden="false" name="EnableCharacterization" vbProcedure="false">Characterization!$D$3</definedName>
    <definedName function="false" hidden="false" name="MacroMetricValueWeights" vbProcedure="false">#REF!</definedName>
    <definedName function="false" hidden="false" name="MacroVectorKeyMap" vbProcedure="false">_FIRST_CVSS_MAP!$A$2:$B$271</definedName>
    <definedName function="false" hidden="false" name="_lookup_A" vbProcedure="false">_LOOKUPS!$H$10:$H$12</definedName>
    <definedName function="false" hidden="false" name="_lookup_AC" vbProcedure="false">_LOOKUPS!$D$11:$D$12</definedName>
    <definedName function="false" hidden="false" name="_lookup_AT" vbProcedure="false">_LOOKUPS!$D$16:$D$17</definedName>
    <definedName function="false" hidden="false" name="_lookup_AV" vbProcedure="false">_LOOKUPS!$D$4:$D$7</definedName>
    <definedName function="false" hidden="false" name="_lookup_E" vbProcedure="false">_LOOKUPS!$D$69:$D$72</definedName>
    <definedName function="false" hidden="false" name="_lookup_MSA" vbProcedure="false">_LOOKUPS!$D$83:$D$86</definedName>
    <definedName function="false" hidden="false" name="_lookup_MSI" vbProcedure="false">_LOOKUPS!$D$76:$D$79</definedName>
    <definedName function="false" hidden="false" name="_lookup_PR" vbProcedure="false">_LOOKUPS!$D$21:$D$23</definedName>
    <definedName function="false" hidden="false" name="_lookup_R" vbProcedure="false">_LOOKUPS!$H$16:$H$19</definedName>
    <definedName function="false" hidden="false" name="_lookup_RE" vbProcedure="false">_LOOKUPS!$H$29:$H$32</definedName>
    <definedName function="false" hidden="false" name="_lookup_S" vbProcedure="false">_LOOKUPS!$H$4:$H$6</definedName>
    <definedName function="false" hidden="false" name="_lookup_SA" vbProcedure="false">_LOOKUPS!$D$63:$D$65</definedName>
    <definedName function="false" hidden="false" name="_lookup_SafetyHeatMap" vbProcedure="false">'Heat Map'!$B$3:$H$8</definedName>
    <definedName function="false" hidden="false" name="_lookup_SafetyRating" vbProcedure="false">'Heat Map'!$D$3:$H$3</definedName>
    <definedName function="false" hidden="false" name="_lookup_SC" vbProcedure="false">_LOOKUPS!$D$51:$D$53</definedName>
    <definedName function="false" hidden="false" name="_lookup_SI" vbProcedure="false">_LOOKUPS!$D$57:$D$59</definedName>
    <definedName function="false" hidden="false" name="_lookup_U" vbProcedure="false">_LOOKUPS!$H$36:$H$40</definedName>
    <definedName function="false" hidden="false" name="_lookup_UI" vbProcedure="false">_LOOKUPS!$D$27:$D$29</definedName>
    <definedName function="false" hidden="false" name="_lookup_V" vbProcedure="false">_LOOKUPS!$H$23:$H$25</definedName>
    <definedName function="false" hidden="false" name="_lookup_VA" vbProcedure="false">_LOOKUPS!$D$45:$D$47</definedName>
    <definedName function="false" hidden="false" name="_lookup_VC" vbProcedure="false">_LOOKUPS!$D$33:$D$35</definedName>
    <definedName function="false" hidden="false" name="_lookup_VI" vbProcedure="false">_LOOKUPS!$D$39:$D$41</definedName>
    <definedName function="false" hidden="false" name="_lookup_Yes" vbProcedure="false">_LOOKUPS!$L$4</definedName>
    <definedName function="false" hidden="false" name="_lookup_YesNo" vbProcedure="false">_LOOKUPS!$L$4:$L$5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<sst xmlns="http://schemas.openxmlformats.org/spreadsheetml/2006/main" count="880" uniqueCount="438">
  <si>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</si>
  <si>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</si>
  <si>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</si>
  <si>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</si>
  <si>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</si>
  <si>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</si>
  <si>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</si>
  <si>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</si>
  <si>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</si>
  <si>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</si>
  <si>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</si>
  <si>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</si>
  <si>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</si>
  <si>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</si>
  <si>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</si>
  <si>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</si>
  <si>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</si>
  <si>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</si>
  <si>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</si>
  <si>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</si>
  <si>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</si>
  <si>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</si>
  <si>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</si>
  <si>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</si>
  <si>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</si>
  <si>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</si>
  <si>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Cyber to Safety Heat-Map</t>
  </si>
  <si>
    <t xml:space="preserve">Cyber Risk</t>
  </si>
  <si>
    <t xml:space="preserve">Min CVSS Score</t>
  </si>
  <si>
    <t xml:space="preserve">Negligible</t>
  </si>
  <si>
    <t xml:space="preserve">Minor</t>
  </si>
  <si>
    <t xml:space="preserve">Moderate</t>
  </si>
  <si>
    <t xml:space="preserve">Serious</t>
  </si>
  <si>
    <t xml:space="preserve">Critical</t>
  </si>
  <si>
    <t xml:space="preserve">Uncontrolled</t>
  </si>
  <si>
    <t xml:space="preserve">High</t>
  </si>
  <si>
    <t xml:space="preserve">Controlled</t>
  </si>
  <si>
    <t xml:space="preserve">Medium</t>
  </si>
  <si>
    <t xml:space="preserve">Low</t>
  </si>
  <si>
    <t xml:space="preserve">None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</si>
  <si>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</si>
  <si>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</si>
  <si>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</si>
  <si>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</si>
  <si>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</si>
  <si>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</si>
  <si>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</si>
  <si>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</si>
  <si>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</si>
  <si>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</si>
  <si>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</si>
  <si>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</si>
  <si>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MacroVector</t>
  </si>
  <si>
    <t xml:space="preserve">CVSS-B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</si>
  <si>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</si>
  <si>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</si>
  <si>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</si>
  <si>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</si>
  <si>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</si>
  <si>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</si>
  <si>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</si>
  <si>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</si>
  <si>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</si>
  <si>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</si>
  <si>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</si>
  <si>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</si>
  <si>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</si>
  <si>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</si>
  <si>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</si>
  <si>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</si>
  <si>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</si>
  <si>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</si>
  <si>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</si>
  <si>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</si>
  <si>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</si>
  <si>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</si>
  <si>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</si>
  <si>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</si>
  <si>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</si>
  <si>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</t>
  </si>
  <si>
    <t xml:space="preserve">Safety
(S)</t>
  </si>
  <si>
    <t xml:space="preserve">Safety Risk Identifiers</t>
  </si>
  <si>
    <t xml:space="preserve">AV:L/AC:L/AT:P/PR:L/UI:P/VC:L/VI:L/VA:L/SC:L/SI:L/SA:L</t>
  </si>
  <si>
    <t xml:space="preserve">Present (P)</t>
  </si>
  <si>
    <t xml:space="preserve">Low (L)</t>
  </si>
  <si>
    <t xml:space="preserve">Passive (P)</t>
  </si>
  <si>
    <t xml:space="preserve">AV:N/AC:L/AT:N/PR:N/UI:N/VC:H/VI:H/VA:H/SC:H/SI:H/SA:H</t>
  </si>
  <si>
    <t xml:space="preserve">None (N)</t>
  </si>
  <si>
    <t xml:space="preserve">High (H)</t>
  </si>
  <si>
    <t xml:space="preserve">AV:N/AC:H/AT:P/PR:H/UI:A/VC:N/VI:N/VA:N/SC:N/SI:N/SA:N</t>
  </si>
  <si>
    <t xml:space="preserve">Active (A)</t>
  </si>
  <si>
    <t xml:space="preserve">AV:L/AC:L/AT:N/PR:L/UI:N/VC:H/VI:H/VA:L/SC:N/SI:N/SA:N</t>
  </si>
  <si>
    <t xml:space="preserve">AV:N/AC:H/AT:P/PR:H/UI:A/VC:L/VI:H/VA:N/SC:L/SI:H/SA:N</t>
  </si>
  <si>
    <t xml:space="preserve">CVSS:4.0/AV:L/AC:L/AT:P/PR:L/UI:N/VC:H/VI:H/VA:H/SC:N/SI:N/SA:N</t>
  </si>
  <si>
    <t xml:space="preserve">CVSS:4.0/AV:N/AC:L/AT:N/PR:N/UI:N/VC:H/VI:H/VA:H/SC:H/SI:H/SA:H</t>
  </si>
  <si>
    <t xml:space="preserve">CVSS:4.0/AV:N/AC:L/AT:N/PR:N/UI:N/VC:N/VI:N/VA:N/SC:N/SI:N/SA:N</t>
  </si>
  <si>
    <t xml:space="preserve">CVSS:4.0/AV:N/AC:L/AT:N/PR:N/UI:N/VC:H/VI:H/VA:H/SC:N/SI:N/SA:N</t>
  </si>
  <si>
    <t xml:space="preserve">CVSS:4.0/AV:N/AC:L/AT:N/PR:L/UI:N/VC:H/VI:H/VA:H/SC:H/SI:H/SA:H</t>
  </si>
  <si>
    <t xml:space="preserve">CVSS:4.0/AV:N/AC:L/AT:N/PR:N/UI:A/VC:N/VI:N/VA:N/SC:L/SI:L/SA:N</t>
  </si>
  <si>
    <t xml:space="preserve">CVSS:4.0/AV:L/AC:L/AT:P/PR:L/UI:A/VC:N/VI:N/VA:N/SC:L/SI:L/SA:N</t>
  </si>
  <si>
    <t xml:space="preserve">CVSS:4.0/AV:N/AC:L/AT:P/PR:N/UI:P/VC:H/VI:H/VA:H/SC:N/SI:N/SA:N/E:U</t>
  </si>
  <si>
    <t xml:space="preserve">Base</t>
  </si>
  <si>
    <t xml:space="preserve">Supplemental</t>
  </si>
  <si>
    <t xml:space="preserve">Code</t>
  </si>
  <si>
    <t xml:space="preserve">Description</t>
  </si>
  <si>
    <t xml:space="preserve">Drop-Down</t>
  </si>
  <si>
    <t xml:space="preserve">N</t>
  </si>
  <si>
    <t xml:space="preserve">Network</t>
  </si>
  <si>
    <t xml:space="preserve">X</t>
  </si>
  <si>
    <t xml:space="preserve">Not Defined</t>
  </si>
  <si>
    <t xml:space="preserve">Y</t>
  </si>
  <si>
    <t xml:space="preserve">Yes</t>
  </si>
  <si>
    <t xml:space="preserve">A</t>
  </si>
  <si>
    <t xml:space="preserve">Adjacent</t>
  </si>
  <si>
    <t xml:space="preserve">No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</si>
  <si>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</si>
  <si>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</si>
  <si>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</si>
  <si>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</si>
  <si>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</si>
  <si>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</si>
  <si>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</si>
  <si>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</si>
  <si>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</si>
  <si>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</si>
  <si>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</si>
  <si>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</si>
  <si>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</si>
  <si>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</si>
  <si>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</si>
  <si>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</si>
  <si>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</si>
  <si>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</si>
  <si>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</si>
  <si>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</si>
  <si>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</si>
  <si>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</si>
  <si>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</si>
  <si>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</si>
  <si>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</si>
  <si>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</si>
  <si>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</si>
  <si>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</si>
  <si>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</si>
  <si>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</si>
  <si>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</si>
  <si>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</si>
  <si>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</si>
  <si>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</si>
  <si>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</si>
  <si>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</si>
  <si>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</si>
  <si>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</si>
  <si>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</si>
  <si>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</si>
  <si>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</si>
  <si>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</t>
  </si>
  <si>
    <t xml:space="preserve">Safety</t>
  </si>
  <si>
    <t xml:space="preserve">Modified Subsequent Avail. (SA)</t>
  </si>
  <si>
    <t xml:space="preserve">BaseScore</t>
  </si>
  <si>
    <t xml:space="preserve">000000</t>
  </si>
  <si>
    <t xml:space="preserve">000001</t>
  </si>
  <si>
    <t xml:space="preserve">000010</t>
  </si>
  <si>
    <t xml:space="preserve">000011</t>
  </si>
  <si>
    <t xml:space="preserve">000020</t>
  </si>
  <si>
    <t xml:space="preserve">000021</t>
  </si>
  <si>
    <t xml:space="preserve">000100</t>
  </si>
  <si>
    <t xml:space="preserve">000101</t>
  </si>
  <si>
    <t xml:space="preserve">000110</t>
  </si>
  <si>
    <t xml:space="preserve">000111</t>
  </si>
  <si>
    <t xml:space="preserve">000120</t>
  </si>
  <si>
    <t xml:space="preserve">000121</t>
  </si>
  <si>
    <t xml:space="preserve">000200</t>
  </si>
  <si>
    <t xml:space="preserve">000201</t>
  </si>
  <si>
    <t xml:space="preserve">000210</t>
  </si>
  <si>
    <t xml:space="preserve">000211</t>
  </si>
  <si>
    <t xml:space="preserve">000220</t>
  </si>
  <si>
    <t xml:space="preserve">000221</t>
  </si>
  <si>
    <t xml:space="preserve">001000</t>
  </si>
  <si>
    <t xml:space="preserve">001001</t>
  </si>
  <si>
    <t xml:space="preserve">001010</t>
  </si>
  <si>
    <t xml:space="preserve">001011</t>
  </si>
  <si>
    <t xml:space="preserve">001020</t>
  </si>
  <si>
    <t xml:space="preserve">001021</t>
  </si>
  <si>
    <t xml:space="preserve">001100</t>
  </si>
  <si>
    <t xml:space="preserve">001101</t>
  </si>
  <si>
    <t xml:space="preserve">001110</t>
  </si>
  <si>
    <t xml:space="preserve">001111</t>
  </si>
  <si>
    <t xml:space="preserve">001120</t>
  </si>
  <si>
    <t xml:space="preserve">001121</t>
  </si>
  <si>
    <t xml:space="preserve">001200</t>
  </si>
  <si>
    <t xml:space="preserve">001201</t>
  </si>
  <si>
    <t xml:space="preserve">001210</t>
  </si>
  <si>
    <t xml:space="preserve">001211</t>
  </si>
  <si>
    <t xml:space="preserve">001220</t>
  </si>
  <si>
    <t xml:space="preserve">001221</t>
  </si>
  <si>
    <t xml:space="preserve">002001</t>
  </si>
  <si>
    <t xml:space="preserve">002011</t>
  </si>
  <si>
    <t xml:space="preserve">002021</t>
  </si>
  <si>
    <t xml:space="preserve">002101</t>
  </si>
  <si>
    <t xml:space="preserve">002111</t>
  </si>
  <si>
    <t xml:space="preserve">002121</t>
  </si>
  <si>
    <t xml:space="preserve">002201</t>
  </si>
  <si>
    <t xml:space="preserve">002211</t>
  </si>
  <si>
    <t xml:space="preserve">002221</t>
  </si>
  <si>
    <t xml:space="preserve">010000</t>
  </si>
  <si>
    <t xml:space="preserve">010001</t>
  </si>
  <si>
    <t xml:space="preserve">010010</t>
  </si>
  <si>
    <t xml:space="preserve">010011</t>
  </si>
  <si>
    <t xml:space="preserve">010020</t>
  </si>
  <si>
    <t xml:space="preserve">010021</t>
  </si>
  <si>
    <t xml:space="preserve">010100</t>
  </si>
  <si>
    <t xml:space="preserve">010101</t>
  </si>
  <si>
    <t xml:space="preserve">010110</t>
  </si>
  <si>
    <t xml:space="preserve">010111</t>
  </si>
  <si>
    <t xml:space="preserve">010120</t>
  </si>
  <si>
    <t xml:space="preserve">010121</t>
  </si>
  <si>
    <t xml:space="preserve">010200</t>
  </si>
  <si>
    <t xml:space="preserve">010201</t>
  </si>
  <si>
    <t xml:space="preserve">010210</t>
  </si>
  <si>
    <t xml:space="preserve">010211</t>
  </si>
  <si>
    <t xml:space="preserve">010220</t>
  </si>
  <si>
    <t xml:space="preserve">010221</t>
  </si>
  <si>
    <t xml:space="preserve">011000</t>
  </si>
  <si>
    <t xml:space="preserve">011001</t>
  </si>
  <si>
    <t xml:space="preserve">011010</t>
  </si>
  <si>
    <t xml:space="preserve">011011</t>
  </si>
  <si>
    <t xml:space="preserve">011020</t>
  </si>
  <si>
    <t xml:space="preserve">011021</t>
  </si>
  <si>
    <t xml:space="preserve">011100</t>
  </si>
  <si>
    <t xml:space="preserve">011101</t>
  </si>
  <si>
    <t xml:space="preserve">011110</t>
  </si>
  <si>
    <t xml:space="preserve">011111</t>
  </si>
  <si>
    <t xml:space="preserve">011120</t>
  </si>
  <si>
    <t xml:space="preserve">011121</t>
  </si>
  <si>
    <t xml:space="preserve">011200</t>
  </si>
  <si>
    <t xml:space="preserve">011201</t>
  </si>
  <si>
    <t xml:space="preserve">011210</t>
  </si>
  <si>
    <t xml:space="preserve">011211</t>
  </si>
  <si>
    <t xml:space="preserve">011220</t>
  </si>
  <si>
    <t xml:space="preserve">011221</t>
  </si>
  <si>
    <t xml:space="preserve">012001</t>
  </si>
  <si>
    <t xml:space="preserve">012011</t>
  </si>
  <si>
    <t xml:space="preserve">012021</t>
  </si>
  <si>
    <t xml:space="preserve">012101</t>
  </si>
  <si>
    <t xml:space="preserve">012111</t>
  </si>
  <si>
    <t xml:space="preserve">012121</t>
  </si>
  <si>
    <t xml:space="preserve">012201</t>
  </si>
  <si>
    <t xml:space="preserve">012211</t>
  </si>
  <si>
    <t xml:space="preserve">012221</t>
  </si>
  <si>
    <t xml:space="preserve">100000</t>
  </si>
  <si>
    <t xml:space="preserve">100001</t>
  </si>
  <si>
    <t xml:space="preserve">100010</t>
  </si>
  <si>
    <t xml:space="preserve">100011</t>
  </si>
  <si>
    <t xml:space="preserve">100020</t>
  </si>
  <si>
    <t xml:space="preserve">100021</t>
  </si>
  <si>
    <t xml:space="preserve">100100</t>
  </si>
  <si>
    <t xml:space="preserve">100101</t>
  </si>
  <si>
    <t xml:space="preserve">100110</t>
  </si>
  <si>
    <t xml:space="preserve">100111</t>
  </si>
  <si>
    <t xml:space="preserve">100120</t>
  </si>
  <si>
    <t xml:space="preserve">100121</t>
  </si>
  <si>
    <t xml:space="preserve">100200</t>
  </si>
  <si>
    <t xml:space="preserve">100201</t>
  </si>
  <si>
    <t xml:space="preserve">100210</t>
  </si>
  <si>
    <t xml:space="preserve">100211</t>
  </si>
  <si>
    <t xml:space="preserve">100220</t>
  </si>
  <si>
    <t xml:space="preserve">100221</t>
  </si>
  <si>
    <t xml:space="preserve">101000</t>
  </si>
  <si>
    <t xml:space="preserve">101001</t>
  </si>
  <si>
    <t xml:space="preserve">101010</t>
  </si>
  <si>
    <t xml:space="preserve">101011</t>
  </si>
  <si>
    <t xml:space="preserve">101020</t>
  </si>
  <si>
    <t xml:space="preserve">101021</t>
  </si>
  <si>
    <t xml:space="preserve">101100</t>
  </si>
  <si>
    <t xml:space="preserve">101101</t>
  </si>
  <si>
    <t xml:space="preserve">101110</t>
  </si>
  <si>
    <t xml:space="preserve">101111</t>
  </si>
  <si>
    <t xml:space="preserve">101120</t>
  </si>
  <si>
    <t xml:space="preserve">101121</t>
  </si>
  <si>
    <t xml:space="preserve">101200</t>
  </si>
  <si>
    <t xml:space="preserve">101201</t>
  </si>
  <si>
    <t xml:space="preserve">101210</t>
  </si>
  <si>
    <t xml:space="preserve">101211</t>
  </si>
  <si>
    <t xml:space="preserve">101220</t>
  </si>
  <si>
    <t xml:space="preserve">101221</t>
  </si>
  <si>
    <t xml:space="preserve">102001</t>
  </si>
  <si>
    <t xml:space="preserve">102011</t>
  </si>
  <si>
    <t xml:space="preserve">102021</t>
  </si>
  <si>
    <t xml:space="preserve">102101</t>
  </si>
  <si>
    <t xml:space="preserve">102111</t>
  </si>
  <si>
    <t xml:space="preserve">102121</t>
  </si>
  <si>
    <t xml:space="preserve">102201</t>
  </si>
  <si>
    <t xml:space="preserve">102211</t>
  </si>
  <si>
    <t xml:space="preserve">102221</t>
  </si>
  <si>
    <t xml:space="preserve">110000</t>
  </si>
  <si>
    <t xml:space="preserve">110001</t>
  </si>
  <si>
    <t xml:space="preserve">110010</t>
  </si>
  <si>
    <t xml:space="preserve">110011</t>
  </si>
  <si>
    <t xml:space="preserve">110020</t>
  </si>
  <si>
    <t xml:space="preserve">110021</t>
  </si>
  <si>
    <t xml:space="preserve">110100</t>
  </si>
  <si>
    <t xml:space="preserve">110101</t>
  </si>
  <si>
    <t xml:space="preserve">110110</t>
  </si>
  <si>
    <t xml:space="preserve">110111</t>
  </si>
  <si>
    <t xml:space="preserve">110120</t>
  </si>
  <si>
    <t xml:space="preserve">110121</t>
  </si>
  <si>
    <t xml:space="preserve">110200</t>
  </si>
  <si>
    <t xml:space="preserve">110201</t>
  </si>
  <si>
    <t xml:space="preserve">110210</t>
  </si>
  <si>
    <t xml:space="preserve">110211</t>
  </si>
  <si>
    <t xml:space="preserve">110220</t>
  </si>
  <si>
    <t xml:space="preserve">110221</t>
  </si>
  <si>
    <t xml:space="preserve">111000</t>
  </si>
  <si>
    <t xml:space="preserve">111001</t>
  </si>
  <si>
    <t xml:space="preserve">111010</t>
  </si>
  <si>
    <t xml:space="preserve">111011</t>
  </si>
  <si>
    <t xml:space="preserve">111020</t>
  </si>
  <si>
    <t xml:space="preserve">111021</t>
  </si>
  <si>
    <t xml:space="preserve">111100</t>
  </si>
  <si>
    <t xml:space="preserve">111101</t>
  </si>
  <si>
    <t xml:space="preserve">111110</t>
  </si>
  <si>
    <t xml:space="preserve">111111</t>
  </si>
  <si>
    <t xml:space="preserve">111120</t>
  </si>
  <si>
    <t xml:space="preserve">111121</t>
  </si>
  <si>
    <t xml:space="preserve">111200</t>
  </si>
  <si>
    <t xml:space="preserve">111201</t>
  </si>
  <si>
    <t xml:space="preserve">111210</t>
  </si>
  <si>
    <t xml:space="preserve">111211</t>
  </si>
  <si>
    <t xml:space="preserve">111220</t>
  </si>
  <si>
    <t xml:space="preserve">111221</t>
  </si>
  <si>
    <t xml:space="preserve">112001</t>
  </si>
  <si>
    <t xml:space="preserve">112011</t>
  </si>
  <si>
    <t xml:space="preserve">112021</t>
  </si>
  <si>
    <t xml:space="preserve">112101</t>
  </si>
  <si>
    <t xml:space="preserve">112111</t>
  </si>
  <si>
    <t xml:space="preserve">112121</t>
  </si>
  <si>
    <t xml:space="preserve">112201</t>
  </si>
  <si>
    <t xml:space="preserve">112211</t>
  </si>
  <si>
    <t xml:space="preserve">112221</t>
  </si>
  <si>
    <t xml:space="preserve">200000</t>
  </si>
  <si>
    <t xml:space="preserve">200001</t>
  </si>
  <si>
    <t xml:space="preserve">200010</t>
  </si>
  <si>
    <t xml:space="preserve">200011</t>
  </si>
  <si>
    <t xml:space="preserve">200020</t>
  </si>
  <si>
    <t xml:space="preserve">200021</t>
  </si>
  <si>
    <t xml:space="preserve">200100</t>
  </si>
  <si>
    <t xml:space="preserve">200101</t>
  </si>
  <si>
    <t xml:space="preserve">200110</t>
  </si>
  <si>
    <t xml:space="preserve">200111</t>
  </si>
  <si>
    <t xml:space="preserve">200120</t>
  </si>
  <si>
    <t xml:space="preserve">200121</t>
  </si>
  <si>
    <t xml:space="preserve">200200</t>
  </si>
  <si>
    <t xml:space="preserve">200201</t>
  </si>
  <si>
    <t xml:space="preserve">200210</t>
  </si>
  <si>
    <t xml:space="preserve">200211</t>
  </si>
  <si>
    <t xml:space="preserve">200220</t>
  </si>
  <si>
    <t xml:space="preserve">200221</t>
  </si>
  <si>
    <t xml:space="preserve">201000</t>
  </si>
  <si>
    <t xml:space="preserve">201001</t>
  </si>
  <si>
    <t xml:space="preserve">201010</t>
  </si>
  <si>
    <t xml:space="preserve">201011</t>
  </si>
  <si>
    <t xml:space="preserve">201020</t>
  </si>
  <si>
    <t xml:space="preserve">201021</t>
  </si>
  <si>
    <t xml:space="preserve">201100</t>
  </si>
  <si>
    <t xml:space="preserve">201101</t>
  </si>
  <si>
    <t xml:space="preserve">201110</t>
  </si>
  <si>
    <t xml:space="preserve">201111</t>
  </si>
  <si>
    <t xml:space="preserve">201120</t>
  </si>
  <si>
    <t xml:space="preserve">201121</t>
  </si>
  <si>
    <t xml:space="preserve">201200</t>
  </si>
  <si>
    <t xml:space="preserve">201201</t>
  </si>
  <si>
    <t xml:space="preserve">201210</t>
  </si>
  <si>
    <t xml:space="preserve">201211</t>
  </si>
  <si>
    <t xml:space="preserve">201220</t>
  </si>
  <si>
    <t xml:space="preserve">201221</t>
  </si>
  <si>
    <t xml:space="preserve">202001</t>
  </si>
  <si>
    <t xml:space="preserve">202011</t>
  </si>
  <si>
    <t xml:space="preserve">202021</t>
  </si>
  <si>
    <t xml:space="preserve">202101</t>
  </si>
  <si>
    <t xml:space="preserve">202111</t>
  </si>
  <si>
    <t xml:space="preserve">202121</t>
  </si>
  <si>
    <t xml:space="preserve">202201</t>
  </si>
  <si>
    <t xml:space="preserve">202211</t>
  </si>
  <si>
    <t xml:space="preserve">202221</t>
  </si>
  <si>
    <t xml:space="preserve">210000</t>
  </si>
  <si>
    <t xml:space="preserve">210001</t>
  </si>
  <si>
    <t xml:space="preserve">210010</t>
  </si>
  <si>
    <t xml:space="preserve">210011</t>
  </si>
  <si>
    <t xml:space="preserve">210020</t>
  </si>
  <si>
    <t xml:space="preserve">210021</t>
  </si>
  <si>
    <t xml:space="preserve">210100</t>
  </si>
  <si>
    <t xml:space="preserve">210101</t>
  </si>
  <si>
    <t xml:space="preserve">210110</t>
  </si>
  <si>
    <t xml:space="preserve">210111</t>
  </si>
  <si>
    <t xml:space="preserve">210120</t>
  </si>
  <si>
    <t xml:space="preserve">210121</t>
  </si>
  <si>
    <t xml:space="preserve">210200</t>
  </si>
  <si>
    <t xml:space="preserve">210201</t>
  </si>
  <si>
    <t xml:space="preserve">210210</t>
  </si>
  <si>
    <t xml:space="preserve">210211</t>
  </si>
  <si>
    <t xml:space="preserve">210220</t>
  </si>
  <si>
    <t xml:space="preserve">210221</t>
  </si>
  <si>
    <t xml:space="preserve">211000</t>
  </si>
  <si>
    <t xml:space="preserve">211001</t>
  </si>
  <si>
    <t xml:space="preserve">211010</t>
  </si>
  <si>
    <t xml:space="preserve">211011</t>
  </si>
  <si>
    <t xml:space="preserve">211020</t>
  </si>
  <si>
    <t xml:space="preserve">211021</t>
  </si>
  <si>
    <t xml:space="preserve">211100</t>
  </si>
  <si>
    <t xml:space="preserve">211101</t>
  </si>
  <si>
    <t xml:space="preserve">211110</t>
  </si>
  <si>
    <t xml:space="preserve">211111</t>
  </si>
  <si>
    <t xml:space="preserve">211120</t>
  </si>
  <si>
    <t xml:space="preserve">211121</t>
  </si>
  <si>
    <t xml:space="preserve">211200</t>
  </si>
  <si>
    <t xml:space="preserve">211201</t>
  </si>
  <si>
    <t xml:space="preserve">211210</t>
  </si>
  <si>
    <t xml:space="preserve">211211</t>
  </si>
  <si>
    <t xml:space="preserve">211220</t>
  </si>
  <si>
    <t xml:space="preserve">211221</t>
  </si>
  <si>
    <t xml:space="preserve">212001</t>
  </si>
  <si>
    <t xml:space="preserve">212011</t>
  </si>
  <si>
    <t xml:space="preserve">212021</t>
  </si>
  <si>
    <t xml:space="preserve">212101</t>
  </si>
  <si>
    <t xml:space="preserve">212111</t>
  </si>
  <si>
    <t xml:space="preserve">212121</t>
  </si>
  <si>
    <t xml:space="preserve">212201</t>
  </si>
  <si>
    <t xml:space="preserve">212211</t>
  </si>
  <si>
    <t xml:space="preserve">212221</t>
  </si>
  <si>
    <t xml:space="preserve">}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</si>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</sst>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"/>
    <numFmt numFmtId="166" formatCode="General"/>
    <numFmt numFmtId="167" formatCode="0.00%"/>
    <numFmt numFmtId="168" formatCode="0.0%"/>
    <numFmt numFmtId="169" formatCode="0%"/>
    <numFmt numFmtId="170" formatCode="@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b val="true"/>
      <i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729FCF"/>
        <bgColor rgb="FF999999"/>
      </patternFill>
    </fill>
    <fill>
      <patternFill patternType="solid">
        <fgColor rgb="FFB4C7DC"/>
        <bgColor rgb="FFADCBE3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000000"/>
        <bgColor rgb="FF003300"/>
      </patternFill>
    </fill>
    <fill>
      <patternFill patternType="solid">
        <fgColor rgb="FFB2B2B2"/>
        <bgColor rgb="FFB4C7DC"/>
      </patternFill>
    </fill>
    <fill>
      <patternFill patternType="solid">
        <fgColor rgb="FFFFDBB6"/>
        <bgColor rgb="FFFFCCCC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FFCCCC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8C7DA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7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1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1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2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1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1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1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1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3" fillId="11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3" fillId="1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0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7" fontId="0" fillId="16" borderId="1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5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4" fillId="8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7" fillId="2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6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18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DDDDDD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FF5CE"/>
      <rgbColor rgb="FFF5F7FA"/>
      <rgbColor rgb="FF660066"/>
      <rgbColor rgb="FFB2B2B2"/>
      <rgbColor rgb="FF2A6099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DCE6"/>
      <rgbColor rgb="FFCCFFCC"/>
      <rgbColor rgb="FFDDDD79"/>
      <rgbColor rgb="FFADCBE3"/>
      <rgbColor rgb="FFFFCCCC"/>
      <rgbColor rgb="FFECBFFF"/>
      <rgbColor rgb="FFFFDBB6"/>
      <rgbColor rgb="FF3366FF"/>
      <rgbColor rgb="FFA8C7DA"/>
      <rgbColor rgb="FF81D41A"/>
      <rgbColor rgb="FFA8DAA8"/>
      <rgbColor rgb="FFB4C7DC"/>
      <rgbColor rgb="FFFF6600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7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8"/>
      <c r="C1" s="2"/>
      <c r="D1" s="2"/>
      <c r="E1" s="2"/>
    </row>
    <row r="2" customFormat="false" ht="15" hidden="false" customHeight="false" outlineLevel="0" collapsed="false">
      <c r="A2" s="2"/>
      <c r="B2" s="9" t="s">
        <v>6</v>
      </c>
      <c r="C2" s="9"/>
      <c r="D2" s="9"/>
      <c r="E2" s="2"/>
    </row>
    <row r="3" customFormat="false" ht="20.85" hidden="false" customHeight="true" outlineLevel="0" collapsed="false">
      <c r="A3" s="2"/>
      <c r="B3" s="10"/>
      <c r="C3" s="11" t="s">
        <v>7</v>
      </c>
      <c r="D3" s="12" t="s">
        <v>8</v>
      </c>
      <c r="E3" s="2"/>
    </row>
    <row r="4" customFormat="false" ht="12.8" hidden="false" customHeight="false" outlineLevel="0" collapsed="false">
      <c r="A4" s="2"/>
      <c r="B4" s="8"/>
      <c r="C4" s="2"/>
      <c r="D4" s="2"/>
      <c r="E4" s="2"/>
    </row>
    <row r="5" customFormat="false" ht="15" hidden="false" customHeight="false" outlineLevel="0" collapsed="false">
      <c r="A5" s="2"/>
      <c r="B5" s="9" t="s">
        <v>9</v>
      </c>
      <c r="C5" s="9"/>
      <c r="D5" s="9"/>
      <c r="E5" s="2"/>
    </row>
    <row r="6" customFormat="false" ht="12.8" hidden="false" customHeight="false" outlineLevel="0" collapsed="false">
      <c r="A6" s="2"/>
      <c r="B6" s="13"/>
      <c r="C6" s="14" t="s">
        <v>10</v>
      </c>
      <c r="D6" s="15" t="s">
        <v>11</v>
      </c>
      <c r="E6" s="2"/>
    </row>
    <row r="7" customFormat="false" ht="35.05" hidden="false" customHeight="false" outlineLevel="0" collapsed="false">
      <c r="A7" s="2"/>
      <c r="B7" s="16" t="s">
        <v>12</v>
      </c>
      <c r="C7" s="17" t="s">
        <v>13</v>
      </c>
      <c r="D7" s="12" t="s">
        <v>8</v>
      </c>
      <c r="E7" s="2"/>
    </row>
    <row r="8" customFormat="false" ht="23.85" hidden="false" customHeight="false" outlineLevel="0" collapsed="false">
      <c r="A8" s="2"/>
      <c r="B8" s="16" t="s">
        <v>14</v>
      </c>
      <c r="C8" s="17" t="s">
        <v>15</v>
      </c>
      <c r="D8" s="12" t="s">
        <v>16</v>
      </c>
      <c r="E8" s="2"/>
    </row>
    <row r="9" customFormat="false" ht="23.85" hidden="false" customHeight="false" outlineLevel="0" collapsed="false">
      <c r="A9" s="2"/>
      <c r="B9" s="16" t="s">
        <v>17</v>
      </c>
      <c r="C9" s="17" t="s">
        <v>18</v>
      </c>
      <c r="D9" s="12" t="s">
        <v>16</v>
      </c>
      <c r="E9" s="2"/>
    </row>
    <row r="10" customFormat="false" ht="7.45" hidden="false" customHeight="true" outlineLevel="0" collapsed="false">
      <c r="A10" s="2"/>
      <c r="B10" s="18"/>
      <c r="C10" s="19"/>
      <c r="D10" s="20"/>
      <c r="E10" s="2"/>
    </row>
    <row r="11" customFormat="false" ht="15" hidden="false" customHeight="false" outlineLevel="0" collapsed="false">
      <c r="A11" s="2"/>
      <c r="B11" s="21" t="s">
        <v>19</v>
      </c>
      <c r="C11" s="21"/>
      <c r="D11" s="21"/>
      <c r="E11" s="2"/>
    </row>
    <row r="12" customFormat="false" ht="33.55" hidden="false" customHeight="true" outlineLevel="0" collapsed="false">
      <c r="A12" s="2"/>
      <c r="B12" s="22" t="s">
        <v>20</v>
      </c>
      <c r="C12" s="22"/>
      <c r="D12" s="22"/>
      <c r="E12" s="2"/>
    </row>
    <row r="13" customFormat="false" ht="15" hidden="false" customHeight="false" outlineLevel="0" collapsed="false">
      <c r="A13" s="2"/>
      <c r="B13" s="21" t="s">
        <v>21</v>
      </c>
      <c r="C13" s="21"/>
      <c r="D13" s="21"/>
      <c r="E13" s="2"/>
    </row>
    <row r="14" customFormat="false" ht="44" hidden="false" customHeight="true" outlineLevel="0" collapsed="false">
      <c r="A14" s="2"/>
      <c r="B14" s="22" t="s">
        <v>22</v>
      </c>
      <c r="C14" s="22"/>
      <c r="D14" s="22"/>
      <c r="E14" s="2"/>
    </row>
    <row r="15" customFormat="false" ht="12.8" hidden="false" customHeight="false" outlineLevel="0" collapsed="false">
      <c r="A15" s="2"/>
      <c r="B15" s="8"/>
      <c r="C15" s="2"/>
      <c r="D15" s="2"/>
      <c r="E15" s="2"/>
    </row>
    <row r="16" customFormat="false" ht="15" hidden="false" customHeight="false" outlineLevel="0" collapsed="false">
      <c r="A16" s="2"/>
      <c r="B16" s="9" t="s">
        <v>23</v>
      </c>
      <c r="C16" s="9"/>
      <c r="D16" s="9"/>
      <c r="E16" s="2"/>
    </row>
    <row r="17" customFormat="false" ht="12.8" hidden="false" customHeight="false" outlineLevel="0" collapsed="false">
      <c r="A17" s="2"/>
      <c r="B17" s="13"/>
      <c r="C17" s="14" t="s">
        <v>10</v>
      </c>
      <c r="D17" s="15" t="s">
        <v>11</v>
      </c>
      <c r="E17" s="2"/>
    </row>
    <row r="18" customFormat="false" ht="35.05" hidden="false" customHeight="false" outlineLevel="0" collapsed="false">
      <c r="A18" s="2"/>
      <c r="B18" s="16" t="s">
        <v>12</v>
      </c>
      <c r="C18" s="17" t="s">
        <v>24</v>
      </c>
      <c r="D18" s="12" t="s">
        <v>8</v>
      </c>
      <c r="E18" s="2"/>
    </row>
    <row r="19" customFormat="false" ht="35.05" hidden="false" customHeight="false" outlineLevel="0" collapsed="false">
      <c r="A19" s="2"/>
      <c r="B19" s="16" t="s">
        <v>17</v>
      </c>
      <c r="C19" s="17" t="s">
        <v>25</v>
      </c>
      <c r="D19" s="12" t="s">
        <v>8</v>
      </c>
      <c r="E19" s="2"/>
    </row>
    <row r="20" customFormat="false" ht="7.45" hidden="false" customHeight="true" outlineLevel="0" collapsed="false">
      <c r="A20" s="2"/>
      <c r="B20" s="18"/>
      <c r="C20" s="19"/>
      <c r="D20" s="20"/>
      <c r="E20" s="2"/>
    </row>
    <row r="21" customFormat="false" ht="15" hidden="false" customHeight="false" outlineLevel="0" collapsed="false">
      <c r="A21" s="2"/>
      <c r="B21" s="21" t="s">
        <v>19</v>
      </c>
      <c r="C21" s="21"/>
      <c r="D21" s="21"/>
      <c r="E21" s="2"/>
    </row>
    <row r="22" customFormat="false" ht="37.3" hidden="false" customHeight="true" outlineLevel="0" collapsed="false">
      <c r="A22" s="2"/>
      <c r="B22" s="22" t="s">
        <v>20</v>
      </c>
      <c r="C22" s="22"/>
      <c r="D22" s="22"/>
      <c r="E22" s="2"/>
    </row>
    <row r="23" customFormat="false" ht="15" hidden="false" customHeight="false" outlineLevel="0" collapsed="false">
      <c r="A23" s="2"/>
      <c r="B23" s="21" t="s">
        <v>21</v>
      </c>
      <c r="C23" s="21"/>
      <c r="D23" s="21"/>
      <c r="E23" s="2"/>
    </row>
    <row r="24" customFormat="false" ht="59.7" hidden="false" customHeight="true" outlineLevel="0" collapsed="false">
      <c r="A24" s="2"/>
      <c r="B24" s="22" t="s">
        <v>22</v>
      </c>
      <c r="C24" s="22"/>
      <c r="D24" s="22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23"/>
    </row>
    <row r="27" customFormat="false" ht="12.8" hidden="false" customHeight="false" outlineLevel="0" collapsed="false">
      <c r="B27" s="24"/>
    </row>
    <row r="28" customFormat="false" ht="12.8" hidden="false" customHeight="false" outlineLevel="0" collapsed="false">
      <c r="B28" s="24"/>
    </row>
    <row r="29" customFormat="false" ht="12.8" hidden="false" customHeight="false" outlineLevel="0" collapsed="false">
      <c r="B29" s="24"/>
    </row>
    <row r="30" customFormat="false" ht="15" hidden="false" customHeight="false" outlineLevel="0" collapsed="false">
      <c r="B30" s="25"/>
    </row>
    <row r="31" customFormat="false" ht="12.8" hidden="false" customHeight="false" outlineLevel="0" collapsed="false">
      <c r="B31" s="23"/>
    </row>
    <row r="32" customFormat="false" ht="12.8" hidden="false" customHeight="false" outlineLevel="0" collapsed="false">
      <c r="B32" s="24"/>
    </row>
    <row r="33" customFormat="false" ht="12.8" hidden="false" customHeight="false" outlineLevel="0" collapsed="false">
      <c r="B33" s="24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7" activeCellId="0" sqref="F7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6" width="10.85"/>
    <col collapsed="false" customWidth="true" hidden="false" outlineLevel="0" max="3" min="3" style="27" width="9.87"/>
    <col collapsed="false" customWidth="true" hidden="false" outlineLevel="0" max="7" min="4" style="1" width="13.75"/>
  </cols>
  <sheetData>
    <row r="1" customFormat="false" ht="12.8" hidden="false" customHeight="false" outlineLevel="0" collapsed="false">
      <c r="A1" s="28"/>
      <c r="B1" s="29"/>
      <c r="C1" s="30"/>
      <c r="D1" s="29"/>
      <c r="E1" s="29"/>
      <c r="F1" s="29"/>
      <c r="G1" s="29"/>
      <c r="H1" s="29"/>
      <c r="I1" s="29"/>
    </row>
    <row r="2" customFormat="false" ht="19.05" hidden="false" customHeight="true" outlineLevel="0" collapsed="false">
      <c r="A2" s="28"/>
      <c r="B2" s="9" t="s">
        <v>26</v>
      </c>
      <c r="C2" s="9"/>
      <c r="D2" s="9"/>
      <c r="E2" s="9"/>
      <c r="F2" s="9"/>
      <c r="G2" s="9"/>
      <c r="H2" s="9"/>
      <c r="I2" s="29"/>
    </row>
    <row r="3" customFormat="false" ht="23.85" hidden="false" customHeight="false" outlineLevel="0" collapsed="false">
      <c r="A3" s="31"/>
      <c r="B3" s="32" t="s">
        <v>27</v>
      </c>
      <c r="C3" s="33" t="s">
        <v>28</v>
      </c>
      <c r="D3" s="33" t="s">
        <v>29</v>
      </c>
      <c r="E3" s="33" t="s">
        <v>30</v>
      </c>
      <c r="F3" s="33" t="s">
        <v>31</v>
      </c>
      <c r="G3" s="33" t="s">
        <v>32</v>
      </c>
      <c r="H3" s="33" t="s">
        <v>33</v>
      </c>
      <c r="I3" s="29"/>
    </row>
    <row r="4" customFormat="false" ht="18.2" hidden="false" customHeight="true" outlineLevel="0" collapsed="false">
      <c r="A4" s="31"/>
      <c r="B4" s="34" t="s">
        <v>33</v>
      </c>
      <c r="C4" s="35" t="n">
        <v>9</v>
      </c>
      <c r="D4" s="36" t="s">
        <v>34</v>
      </c>
      <c r="E4" s="36" t="s">
        <v>34</v>
      </c>
      <c r="F4" s="36" t="s">
        <v>34</v>
      </c>
      <c r="G4" s="36" t="s">
        <v>34</v>
      </c>
      <c r="H4" s="36" t="s">
        <v>34</v>
      </c>
      <c r="I4" s="29"/>
    </row>
    <row r="5" customFormat="false" ht="18.2" hidden="false" customHeight="true" outlineLevel="0" collapsed="false">
      <c r="A5" s="31"/>
      <c r="B5" s="34" t="s">
        <v>35</v>
      </c>
      <c r="C5" s="35" t="n">
        <v>7</v>
      </c>
      <c r="D5" s="36" t="s">
        <v>36</v>
      </c>
      <c r="E5" s="36" t="s">
        <v>34</v>
      </c>
      <c r="F5" s="36" t="s">
        <v>34</v>
      </c>
      <c r="G5" s="36" t="s">
        <v>34</v>
      </c>
      <c r="H5" s="36" t="s">
        <v>34</v>
      </c>
      <c r="I5" s="29"/>
    </row>
    <row r="6" customFormat="false" ht="18.2" hidden="false" customHeight="true" outlineLevel="0" collapsed="false">
      <c r="A6" s="31"/>
      <c r="B6" s="34" t="s">
        <v>37</v>
      </c>
      <c r="C6" s="35" t="n">
        <v>4</v>
      </c>
      <c r="D6" s="36" t="s">
        <v>36</v>
      </c>
      <c r="E6" s="36" t="s">
        <v>36</v>
      </c>
      <c r="F6" s="36" t="s">
        <v>34</v>
      </c>
      <c r="G6" s="36" t="s">
        <v>34</v>
      </c>
      <c r="H6" s="36" t="s">
        <v>34</v>
      </c>
      <c r="I6" s="29"/>
    </row>
    <row r="7" customFormat="false" ht="18.2" hidden="false" customHeight="true" outlineLevel="0" collapsed="false">
      <c r="A7" s="31"/>
      <c r="B7" s="34" t="s">
        <v>38</v>
      </c>
      <c r="C7" s="35" t="n">
        <v>0.1</v>
      </c>
      <c r="D7" s="36" t="s">
        <v>36</v>
      </c>
      <c r="E7" s="36" t="s">
        <v>36</v>
      </c>
      <c r="F7" s="36" t="s">
        <v>36</v>
      </c>
      <c r="G7" s="36" t="s">
        <v>34</v>
      </c>
      <c r="H7" s="36" t="s">
        <v>34</v>
      </c>
      <c r="I7" s="29"/>
    </row>
    <row r="8" customFormat="false" ht="18.2" hidden="false" customHeight="true" outlineLevel="0" collapsed="false">
      <c r="A8" s="31"/>
      <c r="B8" s="34" t="s">
        <v>39</v>
      </c>
      <c r="C8" s="35" t="n">
        <v>0</v>
      </c>
      <c r="D8" s="36" t="s">
        <v>36</v>
      </c>
      <c r="E8" s="36" t="s">
        <v>36</v>
      </c>
      <c r="F8" s="36" t="s">
        <v>36</v>
      </c>
      <c r="G8" s="36" t="s">
        <v>36</v>
      </c>
      <c r="H8" s="36" t="s">
        <v>36</v>
      </c>
      <c r="I8" s="29"/>
    </row>
    <row r="9" customFormat="false" ht="12.8" hidden="false" customHeight="false" outlineLevel="0" collapsed="false">
      <c r="A9" s="31"/>
      <c r="B9" s="29"/>
      <c r="C9" s="30"/>
      <c r="D9" s="29"/>
      <c r="E9" s="29"/>
      <c r="F9" s="29"/>
      <c r="G9" s="29"/>
      <c r="H9" s="29"/>
      <c r="I9" s="29"/>
    </row>
    <row r="16" customFormat="false" ht="12.8" hidden="false" customHeight="false" outlineLevel="0" collapsed="false">
      <c r="A16" s="1"/>
      <c r="B16" s="27"/>
      <c r="C16" s="1"/>
    </row>
    <row r="17" customFormat="false" ht="12.8" hidden="false" customHeight="false" outlineLevel="0" collapsed="false">
      <c r="A17" s="1"/>
      <c r="B17" s="27"/>
      <c r="C17" s="1"/>
    </row>
    <row r="18" customFormat="false" ht="12.8" hidden="false" customHeight="false" outlineLevel="0" collapsed="false">
      <c r="A18" s="1"/>
      <c r="B18" s="27"/>
      <c r="C18" s="1"/>
    </row>
    <row r="19" customFormat="false" ht="12.8" hidden="false" customHeight="false" outlineLevel="0" collapsed="false">
      <c r="A19" s="1"/>
      <c r="B19" s="27"/>
      <c r="C19" s="1"/>
    </row>
    <row r="20" customFormat="false" ht="12.8" hidden="false" customHeight="false" outlineLevel="0" collapsed="false">
      <c r="A20" s="1"/>
      <c r="B20" s="27"/>
      <c r="C20" s="1"/>
    </row>
    <row r="21" customFormat="false" ht="12.8" hidden="false" customHeight="false" outlineLevel="0" collapsed="false">
      <c r="A21" s="1"/>
      <c r="B21" s="27"/>
      <c r="C21" s="1"/>
    </row>
    <row r="28" customFormat="false" ht="12.8" hidden="false" customHeight="false" outlineLevel="0" collapsed="false">
      <c r="A28" s="1"/>
      <c r="B28" s="27"/>
      <c r="C28" s="1"/>
    </row>
    <row r="29" customFormat="false" ht="12.8" hidden="false" customHeight="false" outlineLevel="0" collapsed="false">
      <c r="A29" s="1"/>
      <c r="B29" s="27"/>
      <c r="C29" s="1"/>
    </row>
    <row r="30" customFormat="false" ht="12.8" hidden="false" customHeight="false" outlineLevel="0" collapsed="false">
      <c r="A30" s="1"/>
      <c r="B30" s="27"/>
      <c r="C30" s="1"/>
    </row>
    <row r="38" customFormat="false" ht="12.8" hidden="false" customHeight="false" outlineLevel="0" collapsed="false">
      <c r="A38" s="37"/>
    </row>
    <row r="39" customFormat="false" ht="12.8" hidden="false" customHeight="false" outlineLevel="0" collapsed="false">
      <c r="A39" s="37"/>
    </row>
    <row r="40" customFormat="false" ht="12.8" hidden="false" customHeight="false" outlineLevel="0" collapsed="false">
      <c r="A40" s="37"/>
    </row>
    <row r="41" customFormat="false" ht="12.8" hidden="false" customHeight="false" outlineLevel="0" collapsed="false">
      <c r="A41" s="37"/>
    </row>
    <row r="42" customFormat="false" ht="12.8" hidden="false" customHeight="false" outlineLevel="0" collapsed="false">
      <c r="A42" s="37"/>
    </row>
  </sheetData>
  <mergeCells count="1">
    <mergeCell ref="B2:H2"/>
  </mergeCells>
  <conditionalFormatting sqref="D4:H5 D7:H8 D6 G6:H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E6:F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A6099"/>
    <pageSetUpPr fitToPage="false"/>
  </sheetPr>
  <dimension ref="A1:BE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F8" activeCellId="0" sqref="AF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7" width="12.38"/>
    <col collapsed="false" customWidth="true" hidden="false" outlineLevel="0" max="2" min="2" style="7" width="50.36"/>
    <col collapsed="false" customWidth="true" hidden="false" outlineLevel="0" max="3" min="3" style="7" width="37.69"/>
    <col collapsed="false" customWidth="true" hidden="false" outlineLevel="0" max="4" min="4" style="7" width="21.88"/>
    <col collapsed="false" customWidth="true" hidden="false" outlineLevel="0" max="5" min="5" style="27" width="21.88"/>
    <col collapsed="false" customWidth="true" hidden="false" outlineLevel="0" max="6" min="6" style="27" width="22.02"/>
    <col collapsed="false" customWidth="true" hidden="false" outlineLevel="0" max="7" min="7" style="7" width="64.31"/>
    <col collapsed="false" customWidth="true" hidden="false" outlineLevel="0" max="8" min="8" style="7" width="16.12"/>
    <col collapsed="false" customWidth="true" hidden="false" outlineLevel="0" max="9" min="9" style="38" width="16.12"/>
    <col collapsed="false" customWidth="true" hidden="true" outlineLevel="0" max="10" min="10" style="38" width="12.83"/>
    <col collapsed="false" customWidth="true" hidden="true" outlineLevel="0" max="11" min="11" style="7" width="12.83"/>
    <col collapsed="false" customWidth="true" hidden="true" outlineLevel="0" max="12" min="12" style="7" width="16.12"/>
    <col collapsed="false" customWidth="true" hidden="true" outlineLevel="0" max="17" min="13" style="7" width="12.83"/>
    <col collapsed="false" customWidth="true" hidden="true" outlineLevel="0" max="18" min="18" style="7" width="17.24"/>
    <col collapsed="false" customWidth="true" hidden="true" outlineLevel="0" max="19" min="19" style="7" width="13.91"/>
    <col collapsed="false" customWidth="true" hidden="true" outlineLevel="0" max="20" min="20" style="7" width="14.74"/>
    <col collapsed="false" customWidth="true" hidden="false" outlineLevel="0" max="21" min="21" style="1" width="10.85"/>
    <col collapsed="false" customWidth="false" hidden="false" outlineLevel="0" max="22" min="22" style="39" width="11.53"/>
    <col collapsed="false" customWidth="true" hidden="false" outlineLevel="0" max="23" min="23" style="39" width="19.47"/>
    <col collapsed="false" customWidth="false" hidden="false" outlineLevel="0" max="24" min="24" style="40" width="11.53"/>
    <col collapsed="false" customWidth="true" hidden="false" outlineLevel="0" max="34" min="25" style="1" width="13.66"/>
    <col collapsed="false" customWidth="true" hidden="false" outlineLevel="0" max="35" min="35" style="7" width="64.59"/>
    <col collapsed="false" customWidth="true" hidden="false" outlineLevel="0" max="36" min="36" style="7" width="13.49"/>
    <col collapsed="false" customWidth="true" hidden="false" outlineLevel="0" max="37" min="37" style="40" width="13.75"/>
    <col collapsed="false" customWidth="true" hidden="false" outlineLevel="0" max="38" min="38" style="1" width="13.66"/>
    <col collapsed="false" customWidth="true" hidden="false" outlineLevel="0" max="39" min="39" style="1" width="38.33"/>
    <col collapsed="false" customWidth="true" hidden="false" outlineLevel="0" max="40" min="40" style="1" width="15.71"/>
  </cols>
  <sheetData>
    <row r="1" customFormat="false" ht="23.85" hidden="false" customHeight="true" outlineLevel="0" collapsed="false">
      <c r="A1" s="41" t="s">
        <v>40</v>
      </c>
      <c r="B1" s="41"/>
      <c r="C1" s="41"/>
      <c r="D1" s="41"/>
      <c r="E1" s="41"/>
      <c r="F1" s="41"/>
      <c r="G1" s="42" t="s">
        <v>41</v>
      </c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42</v>
      </c>
      <c r="V1" s="43"/>
      <c r="W1" s="43"/>
      <c r="X1" s="44" t="str">
        <f aca="false">"MODIFIED BASE METRICS [CHARACTERIZATION="&amp;Characterization!D3&amp;"]"</f>
        <v>MODIFIED BASE METRICS [CHARACTERIZATION=No (N)]</v>
      </c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5" t="s">
        <v>43</v>
      </c>
      <c r="AJ1" s="45"/>
      <c r="AK1" s="45"/>
      <c r="AL1" s="46" t="s">
        <v>44</v>
      </c>
      <c r="AM1" s="46"/>
      <c r="AN1" s="47" t="s">
        <v>45</v>
      </c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</row>
    <row r="2" customFormat="false" ht="35.05" hidden="false" customHeight="false" outlineLevel="0" collapsed="false">
      <c r="A2" s="49" t="s">
        <v>46</v>
      </c>
      <c r="B2" s="49" t="s">
        <v>47</v>
      </c>
      <c r="C2" s="49" t="s">
        <v>48</v>
      </c>
      <c r="D2" s="49" t="s">
        <v>49</v>
      </c>
      <c r="E2" s="49" t="s">
        <v>50</v>
      </c>
      <c r="F2" s="49" t="s">
        <v>3</v>
      </c>
      <c r="G2" s="50" t="s">
        <v>51</v>
      </c>
      <c r="H2" s="51" t="s">
        <v>52</v>
      </c>
      <c r="I2" s="52" t="s">
        <v>53</v>
      </c>
      <c r="J2" s="52" t="s">
        <v>54</v>
      </c>
      <c r="K2" s="52" t="s">
        <v>55</v>
      </c>
      <c r="L2" s="52" t="s">
        <v>56</v>
      </c>
      <c r="M2" s="52" t="s">
        <v>57</v>
      </c>
      <c r="N2" s="52" t="s">
        <v>58</v>
      </c>
      <c r="O2" s="52" t="s">
        <v>59</v>
      </c>
      <c r="P2" s="52" t="s">
        <v>60</v>
      </c>
      <c r="Q2" s="52" t="s">
        <v>61</v>
      </c>
      <c r="R2" s="52" t="s">
        <v>62</v>
      </c>
      <c r="S2" s="52" t="s">
        <v>63</v>
      </c>
      <c r="T2" s="52" t="s">
        <v>64</v>
      </c>
      <c r="U2" s="53" t="s">
        <v>65</v>
      </c>
      <c r="V2" s="53" t="s">
        <v>66</v>
      </c>
      <c r="W2" s="53" t="s">
        <v>67</v>
      </c>
      <c r="X2" s="54" t="s">
        <v>68</v>
      </c>
      <c r="Y2" s="54" t="s">
        <v>69</v>
      </c>
      <c r="Z2" s="54" t="s">
        <v>70</v>
      </c>
      <c r="AA2" s="54" t="s">
        <v>71</v>
      </c>
      <c r="AB2" s="54" t="s">
        <v>72</v>
      </c>
      <c r="AC2" s="54" t="s">
        <v>73</v>
      </c>
      <c r="AD2" s="54" t="s">
        <v>74</v>
      </c>
      <c r="AE2" s="54" t="s">
        <v>75</v>
      </c>
      <c r="AF2" s="54" t="s">
        <v>76</v>
      </c>
      <c r="AG2" s="54" t="s">
        <v>77</v>
      </c>
      <c r="AH2" s="54" t="s">
        <v>78</v>
      </c>
      <c r="AI2" s="55" t="s">
        <v>51</v>
      </c>
      <c r="AJ2" s="55" t="s">
        <v>52</v>
      </c>
      <c r="AK2" s="56" t="s">
        <v>79</v>
      </c>
      <c r="AL2" s="57" t="s">
        <v>80</v>
      </c>
      <c r="AM2" s="57" t="s">
        <v>81</v>
      </c>
      <c r="AN2" s="47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r="3" customFormat="false" ht="12.8" hidden="false" customHeight="false" outlineLevel="0" collapsed="false">
      <c r="A3" s="58"/>
      <c r="B3" s="59"/>
      <c r="C3" s="59"/>
      <c r="D3" s="59"/>
      <c r="E3" s="58"/>
      <c r="F3" s="58"/>
      <c r="G3" s="60" t="s">
        <v>82</v>
      </c>
      <c r="H3" s="61" t="str">
        <f aca="false">GETMACROVECTOR(G3)</f>
        <v>212201</v>
      </c>
      <c r="I3" s="62" t="n">
        <f aca="false">CVSS_SCORE(G3)</f>
        <v>1</v>
      </c>
      <c r="J3" s="62" t="str">
        <f aca="false">GET_CVSS_ELEMENT($G3,"AV")</f>
        <v>Local (L)</v>
      </c>
      <c r="K3" s="62" t="str">
        <f aca="false">GET_CVSS_ELEMENT($G3,"AC")</f>
        <v>Low (L)</v>
      </c>
      <c r="L3" s="62" t="str">
        <f aca="false">GET_CVSS_ELEMENT($G3,"AT")</f>
        <v>Present (P)</v>
      </c>
      <c r="M3" s="62" t="str">
        <f aca="false">GET_CVSS_ELEMENT($G3,"PR")</f>
        <v>Low (L)</v>
      </c>
      <c r="N3" s="62" t="str">
        <f aca="false">GET_CVSS_ELEMENT($G3,"UI")</f>
        <v>Passive (P)</v>
      </c>
      <c r="O3" s="62" t="str">
        <f aca="false">GET_CVSS_ELEMENT($G3,"VC")</f>
        <v>Low (L)</v>
      </c>
      <c r="P3" s="62" t="str">
        <f aca="false">GET_CVSS_ELEMENT($G3,"VI")</f>
        <v>Low (L)</v>
      </c>
      <c r="Q3" s="62" t="str">
        <f aca="false">GET_CVSS_ELEMENT($G3,"VA")</f>
        <v>Low (L)</v>
      </c>
      <c r="R3" s="62" t="str">
        <f aca="false">GET_CVSS_ELEMENT($G3,"SC")</f>
        <v>Low (L)</v>
      </c>
      <c r="S3" s="62" t="str">
        <f aca="false">GET_CVSS_ELEMENT($G3,"SI")</f>
        <v>Low (L)</v>
      </c>
      <c r="T3" s="62" t="str">
        <f aca="false">GET_CVSS_ELEMENT($G3,"SA")</f>
        <v>Low (L)</v>
      </c>
      <c r="U3" s="63" t="s">
        <v>16</v>
      </c>
      <c r="V3" s="64" t="n">
        <v>0.6</v>
      </c>
      <c r="W3" s="65" t="str">
        <f aca="false">GETEXPLOIT(V3,U3)</f>
        <v>Attacked (A)</v>
      </c>
      <c r="X3" s="66" t="str">
        <f aca="false">INDEX(_map_AV_MAV, MATCH(J3, INDEX(_map_AV_MAV,,1), 0), 2)</f>
        <v>Local (L)</v>
      </c>
      <c r="Y3" s="66" t="str">
        <f aca="false">INDEX(_map_AC_MAC, MATCH(K3, INDEX(_map_AC_MAC,,1), 0), 2)</f>
        <v>Low (L)</v>
      </c>
      <c r="Z3" s="67" t="s">
        <v>83</v>
      </c>
      <c r="AA3" s="67" t="s">
        <v>84</v>
      </c>
      <c r="AB3" s="67" t="s">
        <v>85</v>
      </c>
      <c r="AC3" s="67" t="s">
        <v>84</v>
      </c>
      <c r="AD3" s="67" t="s">
        <v>84</v>
      </c>
      <c r="AE3" s="67" t="s">
        <v>84</v>
      </c>
      <c r="AF3" s="67" t="s">
        <v>84</v>
      </c>
      <c r="AG3" s="67" t="s">
        <v>84</v>
      </c>
      <c r="AH3" s="67" t="s">
        <v>84</v>
      </c>
      <c r="AI3" s="68" t="str">
        <f aca="false">GET_CVSS4_VECTOR_STR(X3,Y3,Z3,AA3,AB3,AC3,AD3,AE3,AF3,AG3,AH3,W3)</f>
        <v>CVSS:4.0/AV:L/AC:L/AT:P/PR:L/UI:P/VC:L/VI:L/VA:L/SC:L/SI:L/SA:L/E:A</v>
      </c>
      <c r="AJ3" s="62" t="str">
        <f aca="false">GETMACROVECTOR(AI3)</f>
        <v>212201</v>
      </c>
      <c r="AK3" s="62" t="n">
        <f aca="false">CVSS_SCORE(AI3)</f>
        <v>1</v>
      </c>
      <c r="AL3" s="67" t="s">
        <v>29</v>
      </c>
      <c r="AM3" s="69"/>
      <c r="AN3" s="69" t="str">
        <f aca="false">GET_CONTROLLED_STATUS(AK3,AL3)</f>
        <v>Controlled</v>
      </c>
    </row>
    <row r="4" customFormat="false" ht="12.75" hidden="false" customHeight="true" outlineLevel="0" collapsed="false">
      <c r="A4" s="58"/>
      <c r="B4" s="59"/>
      <c r="C4" s="59"/>
      <c r="D4" s="59"/>
      <c r="E4" s="58"/>
      <c r="F4" s="58"/>
      <c r="G4" s="60" t="s">
        <v>86</v>
      </c>
      <c r="H4" s="61" t="str">
        <f aca="false">GETMACROVECTOR(G4)</f>
        <v>000100</v>
      </c>
      <c r="I4" s="62" t="n">
        <f aca="false">CVSS_SCORE(G4)</f>
        <v>10</v>
      </c>
      <c r="J4" s="62" t="str">
        <f aca="false">GET_CVSS_ELEMENT($G4,"AV")</f>
        <v>Network (N)</v>
      </c>
      <c r="K4" s="62" t="str">
        <f aca="false">GET_CVSS_ELEMENT($G4,"AC")</f>
        <v>Low (L)</v>
      </c>
      <c r="L4" s="62" t="str">
        <f aca="false">GET_CVSS_ELEMENT($G4,"AT")</f>
        <v>None (N)</v>
      </c>
      <c r="M4" s="62" t="str">
        <f aca="false">GET_CVSS_ELEMENT($G4,"PR")</f>
        <v>None (N)</v>
      </c>
      <c r="N4" s="62" t="str">
        <f aca="false">GET_CVSS_ELEMENT($G4,"UI")</f>
        <v>None (N)</v>
      </c>
      <c r="O4" s="62" t="str">
        <f aca="false">GET_CVSS_ELEMENT($G4,"VC")</f>
        <v>High (H)</v>
      </c>
      <c r="P4" s="62" t="str">
        <f aca="false">GET_CVSS_ELEMENT($G4,"VI")</f>
        <v>High (H)</v>
      </c>
      <c r="Q4" s="62" t="str">
        <f aca="false">GET_CVSS_ELEMENT($G4,"VA")</f>
        <v>High (H)</v>
      </c>
      <c r="R4" s="62" t="str">
        <f aca="false">GET_CVSS_ELEMENT($G4,"SC")</f>
        <v>High (H)</v>
      </c>
      <c r="S4" s="62" t="str">
        <f aca="false">GET_CVSS_ELEMENT($G4,"SI")</f>
        <v>High (H)</v>
      </c>
      <c r="T4" s="62" t="str">
        <f aca="false">GET_CVSS_ELEMENT($G4,"SA")</f>
        <v>High (H)</v>
      </c>
      <c r="U4" s="63" t="s">
        <v>8</v>
      </c>
      <c r="V4" s="64" t="n">
        <v>0.1</v>
      </c>
      <c r="W4" s="65" t="str">
        <f aca="false">GETEXPLOIT(V4,U4)</f>
        <v>Unreported (U)</v>
      </c>
      <c r="X4" s="66" t="str">
        <f aca="false">INDEX(_map_AV_MAV, MATCH(J4, INDEX(_map_AV_MAV,,1), 0), 2)</f>
        <v>Network (N)</v>
      </c>
      <c r="Y4" s="66" t="str">
        <f aca="false">INDEX(_map_AC_MAC, MATCH(K4, INDEX(_map_AC_MAC,,1), 0), 2)</f>
        <v>Low (L)</v>
      </c>
      <c r="Z4" s="67" t="s">
        <v>87</v>
      </c>
      <c r="AA4" s="67" t="s">
        <v>87</v>
      </c>
      <c r="AB4" s="67" t="s">
        <v>87</v>
      </c>
      <c r="AC4" s="67" t="s">
        <v>88</v>
      </c>
      <c r="AD4" s="67" t="s">
        <v>88</v>
      </c>
      <c r="AE4" s="67" t="s">
        <v>88</v>
      </c>
      <c r="AF4" s="67" t="s">
        <v>88</v>
      </c>
      <c r="AG4" s="67" t="s">
        <v>88</v>
      </c>
      <c r="AH4" s="67" t="s">
        <v>88</v>
      </c>
      <c r="AI4" s="68" t="str">
        <f aca="false">GET_CVSS4_VECTOR_STR(X4,Y4,Z4,AA4,AB4,AC4,AD4,AE4,AF4,AG4,AH4,W4)</f>
        <v>CVSS:4.0/AV:N/AC:L/AT:N/PR:N/UI:N/VC:H/VI:H/VA:H/SC:H/SI:H/SA:H/E:U</v>
      </c>
      <c r="AJ4" s="62" t="str">
        <f aca="false">GETMACROVECTOR(AI4)</f>
        <v>000120</v>
      </c>
      <c r="AK4" s="62" t="n">
        <f aca="false">CVSS_SCORE(AI4)</f>
        <v>9.1</v>
      </c>
      <c r="AL4" s="67" t="s">
        <v>29</v>
      </c>
      <c r="AM4" s="69"/>
      <c r="AN4" s="69" t="str">
        <f aca="false">GET_CONTROLLED_STATUS(AK4,AL4)</f>
        <v>Uncontrolled</v>
      </c>
    </row>
    <row r="5" customFormat="false" ht="12.75" hidden="false" customHeight="true" outlineLevel="0" collapsed="false">
      <c r="A5" s="58"/>
      <c r="B5" s="59"/>
      <c r="C5" s="59"/>
      <c r="D5" s="59"/>
      <c r="E5" s="58"/>
      <c r="F5" s="58"/>
      <c r="G5" s="60" t="s">
        <v>89</v>
      </c>
      <c r="H5" s="61" t="str">
        <f aca="false">GETMACROVECTOR(G5)</f>
        <v>112201</v>
      </c>
      <c r="I5" s="62" t="n">
        <f aca="false">CVSS_SCORE(G5)</f>
        <v>0</v>
      </c>
      <c r="J5" s="62" t="str">
        <f aca="false">GET_CVSS_ELEMENT($G5,"AV")</f>
        <v>Network (N)</v>
      </c>
      <c r="K5" s="62" t="str">
        <f aca="false">GET_CVSS_ELEMENT($G5,"AC")</f>
        <v>High (H)</v>
      </c>
      <c r="L5" s="62" t="str">
        <f aca="false">GET_CVSS_ELEMENT($G5,"AT")</f>
        <v>Present (P)</v>
      </c>
      <c r="M5" s="62" t="str">
        <f aca="false">GET_CVSS_ELEMENT($G5,"PR")</f>
        <v>High (H)</v>
      </c>
      <c r="N5" s="62" t="str">
        <f aca="false">GET_CVSS_ELEMENT($G5,"UI")</f>
        <v>Active (A)</v>
      </c>
      <c r="O5" s="62" t="str">
        <f aca="false">GET_CVSS_ELEMENT($G5,"VC")</f>
        <v>None (N)</v>
      </c>
      <c r="P5" s="62" t="str">
        <f aca="false">GET_CVSS_ELEMENT($G5,"VI")</f>
        <v>None (N)</v>
      </c>
      <c r="Q5" s="62" t="str">
        <f aca="false">GET_CVSS_ELEMENT($G5,"VA")</f>
        <v>None (N)</v>
      </c>
      <c r="R5" s="62" t="str">
        <f aca="false">GET_CVSS_ELEMENT($G5,"SC")</f>
        <v>None (N)</v>
      </c>
      <c r="S5" s="62" t="str">
        <f aca="false">GET_CVSS_ELEMENT($G5,"SI")</f>
        <v>None (N)</v>
      </c>
      <c r="T5" s="62" t="str">
        <f aca="false">GET_CVSS_ELEMENT($G5,"SA")</f>
        <v>None (N)</v>
      </c>
      <c r="U5" s="63" t="s">
        <v>8</v>
      </c>
      <c r="V5" s="64" t="n">
        <v>0.2</v>
      </c>
      <c r="W5" s="65" t="str">
        <f aca="false">GETEXPLOIT(V5,U5)</f>
        <v>Unreported (U)</v>
      </c>
      <c r="X5" s="66" t="str">
        <f aca="false">INDEX(_map_AV_MAV, MATCH(J5, INDEX(_map_AV_MAV,,1), 0), 2)</f>
        <v>Network (N)</v>
      </c>
      <c r="Y5" s="66" t="str">
        <f aca="false">INDEX(_map_AC_MAC, MATCH(K5, INDEX(_map_AC_MAC,,1), 0), 2)</f>
        <v>High (H)</v>
      </c>
      <c r="Z5" s="67" t="s">
        <v>83</v>
      </c>
      <c r="AA5" s="67" t="s">
        <v>88</v>
      </c>
      <c r="AB5" s="67" t="s">
        <v>90</v>
      </c>
      <c r="AC5" s="67" t="s">
        <v>87</v>
      </c>
      <c r="AD5" s="67" t="s">
        <v>87</v>
      </c>
      <c r="AE5" s="67" t="s">
        <v>87</v>
      </c>
      <c r="AF5" s="67" t="s">
        <v>87</v>
      </c>
      <c r="AG5" s="67" t="s">
        <v>87</v>
      </c>
      <c r="AH5" s="67" t="s">
        <v>87</v>
      </c>
      <c r="AI5" s="68" t="str">
        <f aca="false">GET_CVSS4_VECTOR_STR(X5,Y5,Z5,AA5,AB5,AC5,AD5,AE5,AF5,AG5,AH5,W5)</f>
        <v>CVSS:4.0/AV:N/AC:H/AT:P/PR:H/UI:A/VC:N/VI:N/VA:N/SC:N/SI:N/SA:N/E:U</v>
      </c>
      <c r="AJ5" s="62" t="str">
        <f aca="false">GETMACROVECTOR(AI5)</f>
        <v>112221</v>
      </c>
      <c r="AK5" s="62" t="n">
        <f aca="false">CVSS_SCORE(AI5)</f>
        <v>0</v>
      </c>
      <c r="AL5" s="67" t="s">
        <v>29</v>
      </c>
      <c r="AM5" s="69"/>
      <c r="AN5" s="69" t="str">
        <f aca="false">GET_CONTROLLED_STATUS(AK5,AL5)</f>
        <v>Controlled</v>
      </c>
    </row>
    <row r="6" customFormat="false" ht="12.75" hidden="false" customHeight="true" outlineLevel="0" collapsed="false">
      <c r="A6" s="58"/>
      <c r="B6" s="59"/>
      <c r="C6" s="59"/>
      <c r="D6" s="59"/>
      <c r="E6" s="58"/>
      <c r="F6" s="58"/>
      <c r="G6" s="60" t="s">
        <v>91</v>
      </c>
      <c r="H6" s="61" t="str">
        <f aca="false">GETMACROVECTOR(G6)</f>
        <v>100200</v>
      </c>
      <c r="I6" s="62" t="n">
        <f aca="false">CVSS_SCORE(G6)</f>
        <v>8.4</v>
      </c>
      <c r="J6" s="62" t="str">
        <f aca="false">GET_CVSS_ELEMENT($G6,"AV")</f>
        <v>Local (L)</v>
      </c>
      <c r="K6" s="62" t="str">
        <f aca="false">GET_CVSS_ELEMENT($G6,"AC")</f>
        <v>Low (L)</v>
      </c>
      <c r="L6" s="62" t="str">
        <f aca="false">GET_CVSS_ELEMENT($G6,"AT")</f>
        <v>None (N)</v>
      </c>
      <c r="M6" s="62" t="str">
        <f aca="false">GET_CVSS_ELEMENT($G6,"PR")</f>
        <v>Low (L)</v>
      </c>
      <c r="N6" s="62" t="str">
        <f aca="false">GET_CVSS_ELEMENT($G6,"UI")</f>
        <v>None (N)</v>
      </c>
      <c r="O6" s="62" t="str">
        <f aca="false">GET_CVSS_ELEMENT($G6,"VC")</f>
        <v>High (H)</v>
      </c>
      <c r="P6" s="62" t="str">
        <f aca="false">GET_CVSS_ELEMENT($G6,"VI")</f>
        <v>High (H)</v>
      </c>
      <c r="Q6" s="62" t="str">
        <f aca="false">GET_CVSS_ELEMENT($G6,"VA")</f>
        <v>Low (L)</v>
      </c>
      <c r="R6" s="62" t="str">
        <f aca="false">GET_CVSS_ELEMENT($G6,"SC")</f>
        <v>None (N)</v>
      </c>
      <c r="S6" s="62" t="str">
        <f aca="false">GET_CVSS_ELEMENT($G6,"SI")</f>
        <v>None (N)</v>
      </c>
      <c r="T6" s="62" t="str">
        <f aca="false">GET_CVSS_ELEMENT($G6,"SA")</f>
        <v>None (N)</v>
      </c>
      <c r="U6" s="63" t="s">
        <v>8</v>
      </c>
      <c r="V6" s="64" t="n">
        <v>0.5</v>
      </c>
      <c r="W6" s="65" t="str">
        <f aca="false">GETEXPLOIT(V6,U6)</f>
        <v>Proof of Concept (P)</v>
      </c>
      <c r="X6" s="66" t="str">
        <f aca="false">INDEX(_map_AV_MAV, MATCH(J6, INDEX(_map_AV_MAV,,1), 0), 2)</f>
        <v>Local (L)</v>
      </c>
      <c r="Y6" s="66" t="str">
        <f aca="false">INDEX(_map_AC_MAC, MATCH(K6, INDEX(_map_AC_MAC,,1), 0), 2)</f>
        <v>Low (L)</v>
      </c>
      <c r="Z6" s="67" t="s">
        <v>87</v>
      </c>
      <c r="AA6" s="67" t="s">
        <v>84</v>
      </c>
      <c r="AB6" s="67" t="s">
        <v>87</v>
      </c>
      <c r="AC6" s="67" t="s">
        <v>88</v>
      </c>
      <c r="AD6" s="67" t="s">
        <v>88</v>
      </c>
      <c r="AE6" s="67" t="s">
        <v>84</v>
      </c>
      <c r="AF6" s="67" t="s">
        <v>87</v>
      </c>
      <c r="AG6" s="67" t="s">
        <v>87</v>
      </c>
      <c r="AH6" s="67" t="s">
        <v>87</v>
      </c>
      <c r="AI6" s="68" t="str">
        <f aca="false">GET_CVSS4_VECTOR_STR(X6,Y6,Z6,AA6,AB6,AC6,AD6,AE6,AF6,AG6,AH6,W6)</f>
        <v>CVSS:4.0/AV:L/AC:L/AT:N/PR:L/UI:N/VC:H/VI:H/VA:L/SC:N/SI:N/SA:N/E:P</v>
      </c>
      <c r="AJ6" s="62" t="str">
        <f aca="false">GETMACROVECTOR(AI6)</f>
        <v>100210</v>
      </c>
      <c r="AK6" s="62" t="n">
        <f aca="false">CVSS_SCORE(AI6)</f>
        <v>7.1</v>
      </c>
      <c r="AL6" s="67" t="s">
        <v>30</v>
      </c>
      <c r="AM6" s="69"/>
      <c r="AN6" s="69" t="str">
        <f aca="false">GET_CONTROLLED_STATUS(AK6,AL6)</f>
        <v>Uncontrolled</v>
      </c>
    </row>
    <row r="7" customFormat="false" ht="12.75" hidden="false" customHeight="true" outlineLevel="0" collapsed="false">
      <c r="A7" s="58"/>
      <c r="B7" s="59"/>
      <c r="C7" s="59"/>
      <c r="D7" s="59"/>
      <c r="E7" s="58"/>
      <c r="F7" s="58"/>
      <c r="G7" s="60" t="s">
        <v>92</v>
      </c>
      <c r="H7" s="61" t="str">
        <f aca="false">GETMACROVECTOR(G7)</f>
        <v>111100</v>
      </c>
      <c r="I7" s="62" t="n">
        <f aca="false">CVSS_SCORE(G7)</f>
        <v>6.9</v>
      </c>
      <c r="J7" s="62" t="str">
        <f aca="false">GET_CVSS_ELEMENT($G7,"AV")</f>
        <v>Network (N)</v>
      </c>
      <c r="K7" s="62" t="str">
        <f aca="false">GET_CVSS_ELEMENT($G7,"AC")</f>
        <v>High (H)</v>
      </c>
      <c r="L7" s="62" t="str">
        <f aca="false">GET_CVSS_ELEMENT($G7,"AT")</f>
        <v>Present (P)</v>
      </c>
      <c r="M7" s="62" t="str">
        <f aca="false">GET_CVSS_ELEMENT($G7,"PR")</f>
        <v>High (H)</v>
      </c>
      <c r="N7" s="62" t="str">
        <f aca="false">GET_CVSS_ELEMENT($G7,"UI")</f>
        <v>Active (A)</v>
      </c>
      <c r="O7" s="62" t="str">
        <f aca="false">GET_CVSS_ELEMENT($G7,"VC")</f>
        <v>Low (L)</v>
      </c>
      <c r="P7" s="62" t="str">
        <f aca="false">GET_CVSS_ELEMENT($G7,"VI")</f>
        <v>High (H)</v>
      </c>
      <c r="Q7" s="62" t="str">
        <f aca="false">GET_CVSS_ELEMENT($G7,"VA")</f>
        <v>None (N)</v>
      </c>
      <c r="R7" s="62" t="str">
        <f aca="false">GET_CVSS_ELEMENT($G7,"SC")</f>
        <v>Low (L)</v>
      </c>
      <c r="S7" s="62" t="str">
        <f aca="false">GET_CVSS_ELEMENT($G7,"SI")</f>
        <v>High (H)</v>
      </c>
      <c r="T7" s="62" t="str">
        <f aca="false">GET_CVSS_ELEMENT($G7,"SA")</f>
        <v>None (N)</v>
      </c>
      <c r="U7" s="63" t="s">
        <v>8</v>
      </c>
      <c r="V7" s="64" t="n">
        <v>0.7</v>
      </c>
      <c r="W7" s="65" t="str">
        <f aca="false">GETEXPLOIT(V7,U7)</f>
        <v>Proof of Concept (P)</v>
      </c>
      <c r="X7" s="66" t="str">
        <f aca="false">INDEX(_map_AV_MAV, MATCH(J7, INDEX(_map_AV_MAV,,1), 0), 2)</f>
        <v>Network (N)</v>
      </c>
      <c r="Y7" s="66" t="str">
        <f aca="false">INDEX(_map_AC_MAC, MATCH(K7, INDEX(_map_AC_MAC,,1), 0), 2)</f>
        <v>High (H)</v>
      </c>
      <c r="Z7" s="67" t="s">
        <v>83</v>
      </c>
      <c r="AA7" s="67" t="s">
        <v>88</v>
      </c>
      <c r="AB7" s="67" t="s">
        <v>90</v>
      </c>
      <c r="AC7" s="67" t="s">
        <v>84</v>
      </c>
      <c r="AD7" s="67" t="s">
        <v>88</v>
      </c>
      <c r="AE7" s="67" t="s">
        <v>87</v>
      </c>
      <c r="AF7" s="67" t="s">
        <v>84</v>
      </c>
      <c r="AG7" s="67" t="s">
        <v>88</v>
      </c>
      <c r="AH7" s="67" t="s">
        <v>87</v>
      </c>
      <c r="AI7" s="68" t="str">
        <f aca="false">GET_CVSS4_VECTOR_STR(X7,Y7,Z7,AA7,AB7,AC7,AD7,AE7,AF7,AG7,AH7,W7)</f>
        <v>CVSS:4.0/AV:N/AC:H/AT:P/PR:H/UI:A/VC:L/VI:H/VA:N/SC:L/SI:H/SA:N/E:P</v>
      </c>
      <c r="AJ7" s="62" t="str">
        <f aca="false">GETMACROVECTOR(AI7)</f>
        <v>111110</v>
      </c>
      <c r="AK7" s="62" t="n">
        <f aca="false">CVSS_SCORE(AI7)</f>
        <v>5.5</v>
      </c>
      <c r="AL7" s="67" t="s">
        <v>31</v>
      </c>
      <c r="AM7" s="69"/>
      <c r="AN7" s="69" t="str">
        <f aca="false">GET_CONTROLLED_STATUS(AK7,AL7)</f>
        <v>Uncontrolled</v>
      </c>
    </row>
    <row r="8" customFormat="false" ht="12.75" hidden="false" customHeight="true" outlineLevel="0" collapsed="false">
      <c r="A8" s="58"/>
      <c r="B8" s="59"/>
      <c r="C8" s="59"/>
      <c r="D8" s="59"/>
      <c r="E8" s="58"/>
      <c r="F8" s="58"/>
      <c r="G8" s="60" t="s">
        <v>93</v>
      </c>
      <c r="H8" s="61" t="str">
        <f aca="false">GETMACROVECTOR(G8)</f>
        <v>110200</v>
      </c>
      <c r="I8" s="62" t="n">
        <f aca="false">CVSS_SCORE(G8)</f>
        <v>7.3</v>
      </c>
      <c r="J8" s="62" t="str">
        <f aca="false">GET_CVSS_ELEMENT($G8,"AV")</f>
        <v>Local (L)</v>
      </c>
      <c r="K8" s="62" t="str">
        <f aca="false">GET_CVSS_ELEMENT($G8,"AC")</f>
        <v>Low (L)</v>
      </c>
      <c r="L8" s="62" t="str">
        <f aca="false">GET_CVSS_ELEMENT($G8,"AT")</f>
        <v>Present (P)</v>
      </c>
      <c r="M8" s="62" t="str">
        <f aca="false">GET_CVSS_ELEMENT($G8,"PR")</f>
        <v>Low (L)</v>
      </c>
      <c r="N8" s="62" t="str">
        <f aca="false">GET_CVSS_ELEMENT($G8,"UI")</f>
        <v>None (N)</v>
      </c>
      <c r="O8" s="62" t="str">
        <f aca="false">GET_CVSS_ELEMENT($G8,"VC")</f>
        <v>High (H)</v>
      </c>
      <c r="P8" s="62" t="str">
        <f aca="false">GET_CVSS_ELEMENT($G8,"VI")</f>
        <v>High (H)</v>
      </c>
      <c r="Q8" s="62" t="str">
        <f aca="false">GET_CVSS_ELEMENT($G8,"VA")</f>
        <v>High (H)</v>
      </c>
      <c r="R8" s="62" t="str">
        <f aca="false">GET_CVSS_ELEMENT($G8,"SC")</f>
        <v>None (N)</v>
      </c>
      <c r="S8" s="62" t="str">
        <f aca="false">GET_CVSS_ELEMENT($G8,"SI")</f>
        <v>None (N)</v>
      </c>
      <c r="T8" s="62" t="str">
        <f aca="false">GET_CVSS_ELEMENT($G8,"SA")</f>
        <v>None (N)</v>
      </c>
      <c r="U8" s="63" t="s">
        <v>8</v>
      </c>
      <c r="V8" s="64" t="n">
        <v>0.9</v>
      </c>
      <c r="W8" s="65" t="str">
        <f aca="false">GETEXPLOIT(V8,U8)</f>
        <v>Attacked (A)</v>
      </c>
      <c r="X8" s="66" t="str">
        <f aca="false">INDEX(_map_AV_MAV, MATCH(J8, INDEX(_map_AV_MAV,,1), 0), 2)</f>
        <v>Local (L)</v>
      </c>
      <c r="Y8" s="66" t="str">
        <f aca="false">INDEX(_map_AC_MAC, MATCH(K8, INDEX(_map_AC_MAC,,1), 0), 2)</f>
        <v>Low (L)</v>
      </c>
      <c r="Z8" s="67" t="s">
        <v>87</v>
      </c>
      <c r="AA8" s="67" t="s">
        <v>87</v>
      </c>
      <c r="AB8" s="67" t="s">
        <v>87</v>
      </c>
      <c r="AC8" s="67" t="s">
        <v>84</v>
      </c>
      <c r="AD8" s="67" t="s">
        <v>88</v>
      </c>
      <c r="AE8" s="67" t="s">
        <v>88</v>
      </c>
      <c r="AF8" s="67" t="s">
        <v>87</v>
      </c>
      <c r="AG8" s="67" t="s">
        <v>87</v>
      </c>
      <c r="AH8" s="67" t="s">
        <v>87</v>
      </c>
      <c r="AI8" s="68" t="str">
        <f aca="false">GET_CVSS4_VECTOR_STR(X8,Y8,Z8,AA8,AB8,AC8,AD8,AE8,AF8,AG8,AH8,W8)</f>
        <v>CVSS:4.0/AV:L/AC:L/AT:N/PR:N/UI:N/VC:L/VI:H/VA:H/SC:N/SI:N/SA:N/E:A</v>
      </c>
      <c r="AJ8" s="62" t="str">
        <f aca="false">GETMACROVECTOR(AI8)</f>
        <v>101200</v>
      </c>
      <c r="AK8" s="62" t="n">
        <f aca="false">CVSS_SCORE(AI8)</f>
        <v>7.1</v>
      </c>
      <c r="AL8" s="67" t="s">
        <v>29</v>
      </c>
      <c r="AM8" s="69"/>
      <c r="AN8" s="69" t="str">
        <f aca="false">GET_CONTROLLED_STATUS(AK8,AL8)</f>
        <v>Controlled</v>
      </c>
    </row>
    <row r="9" customFormat="false" ht="12.8" hidden="false" customHeight="false" outlineLevel="0" collapsed="false">
      <c r="A9" s="58"/>
      <c r="B9" s="59"/>
      <c r="C9" s="59"/>
      <c r="D9" s="59"/>
      <c r="E9" s="58"/>
      <c r="F9" s="58"/>
      <c r="G9" s="60" t="s">
        <v>94</v>
      </c>
      <c r="H9" s="61" t="str">
        <f aca="false">GETMACROVECTOR(G9)</f>
        <v>000100</v>
      </c>
      <c r="I9" s="62" t="n">
        <f aca="false">CVSS_SCORE(G9)</f>
        <v>10</v>
      </c>
      <c r="J9" s="62" t="str">
        <f aca="false">GET_CVSS_ELEMENT($G9,"AV")</f>
        <v>Network (N)</v>
      </c>
      <c r="K9" s="62" t="str">
        <f aca="false">GET_CVSS_ELEMENT($G9,"AC")</f>
        <v>Low (L)</v>
      </c>
      <c r="L9" s="62" t="str">
        <f aca="false">GET_CVSS_ELEMENT($G9,"AT")</f>
        <v>None (N)</v>
      </c>
      <c r="M9" s="62" t="str">
        <f aca="false">GET_CVSS_ELEMENT($G9,"PR")</f>
        <v>None (N)</v>
      </c>
      <c r="N9" s="62" t="str">
        <f aca="false">GET_CVSS_ELEMENT($G9,"UI")</f>
        <v>None (N)</v>
      </c>
      <c r="O9" s="62" t="str">
        <f aca="false">GET_CVSS_ELEMENT($G9,"VC")</f>
        <v>High (H)</v>
      </c>
      <c r="P9" s="62" t="str">
        <f aca="false">GET_CVSS_ELEMENT($G9,"VI")</f>
        <v>High (H)</v>
      </c>
      <c r="Q9" s="62" t="str">
        <f aca="false">GET_CVSS_ELEMENT($G9,"VA")</f>
        <v>High (H)</v>
      </c>
      <c r="R9" s="62" t="str">
        <f aca="false">GET_CVSS_ELEMENT($G9,"SC")</f>
        <v>High (H)</v>
      </c>
      <c r="S9" s="62" t="str">
        <f aca="false">GET_CVSS_ELEMENT($G9,"SI")</f>
        <v>High (H)</v>
      </c>
      <c r="T9" s="62" t="str">
        <f aca="false">GET_CVSS_ELEMENT($G9,"SA")</f>
        <v>High (H)</v>
      </c>
      <c r="U9" s="63" t="s">
        <v>8</v>
      </c>
      <c r="V9" s="64" t="n">
        <v>0.91</v>
      </c>
      <c r="W9" s="65" t="str">
        <f aca="false">GETEXPLOIT(V9,U9)</f>
        <v>Attacked (A)</v>
      </c>
      <c r="X9" s="66" t="str">
        <f aca="false">INDEX(_map_AV_MAV, MATCH(J9, INDEX(_map_AV_MAV,,1), 0), 2)</f>
        <v>Network (N)</v>
      </c>
      <c r="Y9" s="66" t="str">
        <f aca="false">INDEX(_map_AC_MAC, MATCH(K9, INDEX(_map_AC_MAC,,1), 0), 2)</f>
        <v>Low (L)</v>
      </c>
      <c r="Z9" s="67" t="s">
        <v>87</v>
      </c>
      <c r="AA9" s="67" t="s">
        <v>87</v>
      </c>
      <c r="AB9" s="67" t="s">
        <v>87</v>
      </c>
      <c r="AC9" s="67" t="s">
        <v>84</v>
      </c>
      <c r="AD9" s="67" t="s">
        <v>88</v>
      </c>
      <c r="AE9" s="67" t="s">
        <v>88</v>
      </c>
      <c r="AF9" s="67" t="s">
        <v>87</v>
      </c>
      <c r="AG9" s="67" t="s">
        <v>87</v>
      </c>
      <c r="AH9" s="67" t="s">
        <v>87</v>
      </c>
      <c r="AI9" s="68" t="str">
        <f aca="false">GET_CVSS4_VECTOR_STR(X9,Y9,Z9,AA9,AB9,AC9,AD9,AE9,AF9,AG9,AH9,W9)</f>
        <v>CVSS:4.0/AV:N/AC:L/AT:N/PR:N/UI:N/VC:L/VI:H/VA:H/SC:N/SI:N/SA:N/E:A</v>
      </c>
      <c r="AJ9" s="62" t="str">
        <f aca="false">GETMACROVECTOR(AI9)</f>
        <v>001200</v>
      </c>
      <c r="AK9" s="62" t="n">
        <f aca="false">CVSS_SCORE(AI9)</f>
        <v>8.8</v>
      </c>
      <c r="AL9" s="67" t="s">
        <v>29</v>
      </c>
      <c r="AM9" s="69"/>
      <c r="AN9" s="69" t="str">
        <f aca="false">GET_CONTROLLED_STATUS(AK9,AL9)</f>
        <v>Controlled</v>
      </c>
    </row>
    <row r="10" customFormat="false" ht="12.8" hidden="false" customHeight="false" outlineLevel="0" collapsed="false">
      <c r="A10" s="58"/>
      <c r="B10" s="59"/>
      <c r="C10" s="59"/>
      <c r="D10" s="59"/>
      <c r="E10" s="58"/>
      <c r="F10" s="58"/>
      <c r="G10" s="60" t="s">
        <v>95</v>
      </c>
      <c r="H10" s="61" t="str">
        <f aca="false">GETMACROVECTOR(G10)</f>
        <v>002201</v>
      </c>
      <c r="I10" s="62" t="n">
        <f aca="false">CVSS_SCORE(G10)</f>
        <v>0</v>
      </c>
      <c r="J10" s="62" t="str">
        <f aca="false">GET_CVSS_ELEMENT($G10,"AV")</f>
        <v>Network (N)</v>
      </c>
      <c r="K10" s="62" t="str">
        <f aca="false">GET_CVSS_ELEMENT($G10,"AC")</f>
        <v>Low (L)</v>
      </c>
      <c r="L10" s="62" t="str">
        <f aca="false">GET_CVSS_ELEMENT($G10,"AT")</f>
        <v>None (N)</v>
      </c>
      <c r="M10" s="62" t="str">
        <f aca="false">GET_CVSS_ELEMENT($G10,"PR")</f>
        <v>None (N)</v>
      </c>
      <c r="N10" s="62" t="str">
        <f aca="false">GET_CVSS_ELEMENT($G10,"UI")</f>
        <v>None (N)</v>
      </c>
      <c r="O10" s="62" t="str">
        <f aca="false">GET_CVSS_ELEMENT($G10,"VC")</f>
        <v>None (N)</v>
      </c>
      <c r="P10" s="62" t="str">
        <f aca="false">GET_CVSS_ELEMENT($G10,"VI")</f>
        <v>None (N)</v>
      </c>
      <c r="Q10" s="62" t="str">
        <f aca="false">GET_CVSS_ELEMENT($G10,"VA")</f>
        <v>None (N)</v>
      </c>
      <c r="R10" s="62" t="str">
        <f aca="false">GET_CVSS_ELEMENT($G10,"SC")</f>
        <v>None (N)</v>
      </c>
      <c r="S10" s="62" t="str">
        <f aca="false">GET_CVSS_ELEMENT($G10,"SI")</f>
        <v>None (N)</v>
      </c>
      <c r="T10" s="62" t="str">
        <f aca="false">GET_CVSS_ELEMENT($G10,"SA")</f>
        <v>None (N)</v>
      </c>
      <c r="U10" s="63" t="s">
        <v>8</v>
      </c>
      <c r="V10" s="64" t="n">
        <v>0.92</v>
      </c>
      <c r="W10" s="65" t="str">
        <f aca="false">GETEXPLOIT(V10,U10)</f>
        <v>Attacked (A)</v>
      </c>
      <c r="X10" s="66" t="str">
        <f aca="false">INDEX(_map_AV_MAV, MATCH(J10, INDEX(_map_AV_MAV,,1), 0), 2)</f>
        <v>Network (N)</v>
      </c>
      <c r="Y10" s="66" t="str">
        <f aca="false">INDEX(_map_AC_MAC, MATCH(K10, INDEX(_map_AC_MAC,,1), 0), 2)</f>
        <v>Low (L)</v>
      </c>
      <c r="Z10" s="67" t="s">
        <v>87</v>
      </c>
      <c r="AA10" s="67" t="s">
        <v>87</v>
      </c>
      <c r="AB10" s="67" t="s">
        <v>87</v>
      </c>
      <c r="AC10" s="67" t="s">
        <v>84</v>
      </c>
      <c r="AD10" s="67" t="s">
        <v>88</v>
      </c>
      <c r="AE10" s="67" t="s">
        <v>88</v>
      </c>
      <c r="AF10" s="67" t="s">
        <v>87</v>
      </c>
      <c r="AG10" s="67" t="s">
        <v>87</v>
      </c>
      <c r="AH10" s="67" t="s">
        <v>87</v>
      </c>
      <c r="AI10" s="68" t="str">
        <f aca="false">GET_CVSS4_VECTOR_STR(X10,Y10,Z10,AA10,AB10,AC10,AD10,AE10,AF10,AG10,AH10,W10)</f>
        <v>CVSS:4.0/AV:N/AC:L/AT:N/PR:N/UI:N/VC:L/VI:H/VA:H/SC:N/SI:N/SA:N/E:A</v>
      </c>
      <c r="AJ10" s="62" t="str">
        <f aca="false">GETMACROVECTOR(AI10)</f>
        <v>001200</v>
      </c>
      <c r="AK10" s="62" t="n">
        <f aca="false">CVSS_SCORE(AI10)</f>
        <v>8.8</v>
      </c>
      <c r="AL10" s="67" t="s">
        <v>29</v>
      </c>
      <c r="AM10" s="69"/>
      <c r="AN10" s="69" t="str">
        <f aca="false">GET_CONTROLLED_STATUS(AK10,AL10)</f>
        <v>Controlled</v>
      </c>
    </row>
    <row r="11" customFormat="false" ht="12.8" hidden="false" customHeight="false" outlineLevel="0" collapsed="false">
      <c r="A11" s="58"/>
      <c r="B11" s="59"/>
      <c r="C11" s="59"/>
      <c r="D11" s="59"/>
      <c r="E11" s="58"/>
      <c r="F11" s="58"/>
      <c r="G11" s="60" t="s">
        <v>96</v>
      </c>
      <c r="H11" s="61" t="str">
        <f aca="false">GETMACROVECTOR(G11)</f>
        <v>000200</v>
      </c>
      <c r="I11" s="62" t="n">
        <f aca="false">CVSS_SCORE(G11)</f>
        <v>9.3</v>
      </c>
      <c r="J11" s="62" t="str">
        <f aca="false">GET_CVSS_ELEMENT($G11,"AV")</f>
        <v>Network (N)</v>
      </c>
      <c r="K11" s="62" t="str">
        <f aca="false">GET_CVSS_ELEMENT($G11,"AC")</f>
        <v>Low (L)</v>
      </c>
      <c r="L11" s="62" t="str">
        <f aca="false">GET_CVSS_ELEMENT($G11,"AT")</f>
        <v>None (N)</v>
      </c>
      <c r="M11" s="62" t="str">
        <f aca="false">GET_CVSS_ELEMENT($G11,"PR")</f>
        <v>None (N)</v>
      </c>
      <c r="N11" s="62" t="str">
        <f aca="false">GET_CVSS_ELEMENT($G11,"UI")</f>
        <v>None (N)</v>
      </c>
      <c r="O11" s="62" t="str">
        <f aca="false">GET_CVSS_ELEMENT($G11,"VC")</f>
        <v>High (H)</v>
      </c>
      <c r="P11" s="62" t="str">
        <f aca="false">GET_CVSS_ELEMENT($G11,"VI")</f>
        <v>High (H)</v>
      </c>
      <c r="Q11" s="62" t="str">
        <f aca="false">GET_CVSS_ELEMENT($G11,"VA")</f>
        <v>High (H)</v>
      </c>
      <c r="R11" s="62" t="str">
        <f aca="false">GET_CVSS_ELEMENT($G11,"SC")</f>
        <v>None (N)</v>
      </c>
      <c r="S11" s="62" t="str">
        <f aca="false">GET_CVSS_ELEMENT($G11,"SI")</f>
        <v>None (N)</v>
      </c>
      <c r="T11" s="62" t="str">
        <f aca="false">GET_CVSS_ELEMENT($G11,"SA")</f>
        <v>None (N)</v>
      </c>
      <c r="U11" s="63" t="s">
        <v>8</v>
      </c>
      <c r="V11" s="64" t="n">
        <v>0.93</v>
      </c>
      <c r="W11" s="65" t="str">
        <f aca="false">GETEXPLOIT(V11,U11)</f>
        <v>Attacked (A)</v>
      </c>
      <c r="X11" s="66" t="str">
        <f aca="false">INDEX(_map_AV_MAV, MATCH(J11, INDEX(_map_AV_MAV,,1), 0), 2)</f>
        <v>Network (N)</v>
      </c>
      <c r="Y11" s="66" t="str">
        <f aca="false">INDEX(_map_AC_MAC, MATCH(K11, INDEX(_map_AC_MAC,,1), 0), 2)</f>
        <v>Low (L)</v>
      </c>
      <c r="Z11" s="67" t="s">
        <v>87</v>
      </c>
      <c r="AA11" s="67" t="s">
        <v>87</v>
      </c>
      <c r="AB11" s="67" t="s">
        <v>87</v>
      </c>
      <c r="AC11" s="67" t="s">
        <v>84</v>
      </c>
      <c r="AD11" s="67" t="s">
        <v>88</v>
      </c>
      <c r="AE11" s="67" t="s">
        <v>88</v>
      </c>
      <c r="AF11" s="67" t="s">
        <v>87</v>
      </c>
      <c r="AG11" s="67" t="s">
        <v>87</v>
      </c>
      <c r="AH11" s="67" t="s">
        <v>87</v>
      </c>
      <c r="AI11" s="68" t="str">
        <f aca="false">GET_CVSS4_VECTOR_STR(X11,Y11,Z11,AA11,AB11,AC11,AD11,AE11,AF11,AG11,AH11,W11)</f>
        <v>CVSS:4.0/AV:N/AC:L/AT:N/PR:N/UI:N/VC:L/VI:H/VA:H/SC:N/SI:N/SA:N/E:A</v>
      </c>
      <c r="AJ11" s="62" t="str">
        <f aca="false">GETMACROVECTOR(AI11)</f>
        <v>001200</v>
      </c>
      <c r="AK11" s="62" t="n">
        <f aca="false">CVSS_SCORE(AI11)</f>
        <v>8.8</v>
      </c>
      <c r="AL11" s="67" t="s">
        <v>29</v>
      </c>
      <c r="AM11" s="69"/>
      <c r="AN11" s="69" t="str">
        <f aca="false">GET_CONTROLLED_STATUS(AK11,AL11)</f>
        <v>Controlled</v>
      </c>
    </row>
    <row r="12" customFormat="false" ht="12.8" hidden="false" customHeight="false" outlineLevel="0" collapsed="false">
      <c r="A12" s="58"/>
      <c r="B12" s="59"/>
      <c r="C12" s="59"/>
      <c r="D12" s="59"/>
      <c r="E12" s="58"/>
      <c r="F12" s="58"/>
      <c r="G12" s="60" t="s">
        <v>97</v>
      </c>
      <c r="H12" s="61" t="str">
        <f aca="false">GETMACROVECTOR(G12)</f>
        <v>100100</v>
      </c>
      <c r="I12" s="62" t="n">
        <f aca="false">CVSS_SCORE(G12)</f>
        <v>9.4</v>
      </c>
      <c r="J12" s="62" t="str">
        <f aca="false">GET_CVSS_ELEMENT($G12,"AV")</f>
        <v>Network (N)</v>
      </c>
      <c r="K12" s="62" t="str">
        <f aca="false">GET_CVSS_ELEMENT($G12,"AC")</f>
        <v>Low (L)</v>
      </c>
      <c r="L12" s="62" t="str">
        <f aca="false">GET_CVSS_ELEMENT($G12,"AT")</f>
        <v>None (N)</v>
      </c>
      <c r="M12" s="62" t="str">
        <f aca="false">GET_CVSS_ELEMENT($G12,"PR")</f>
        <v>Low (L)</v>
      </c>
      <c r="N12" s="62" t="str">
        <f aca="false">GET_CVSS_ELEMENT($G12,"UI")</f>
        <v>None (N)</v>
      </c>
      <c r="O12" s="62" t="str">
        <f aca="false">GET_CVSS_ELEMENT($G12,"VC")</f>
        <v>High (H)</v>
      </c>
      <c r="P12" s="62" t="str">
        <f aca="false">GET_CVSS_ELEMENT($G12,"VI")</f>
        <v>High (H)</v>
      </c>
      <c r="Q12" s="62" t="str">
        <f aca="false">GET_CVSS_ELEMENT($G12,"VA")</f>
        <v>High (H)</v>
      </c>
      <c r="R12" s="62" t="str">
        <f aca="false">GET_CVSS_ELEMENT($G12,"SC")</f>
        <v>High (H)</v>
      </c>
      <c r="S12" s="62" t="str">
        <f aca="false">GET_CVSS_ELEMENT($G12,"SI")</f>
        <v>High (H)</v>
      </c>
      <c r="T12" s="62" t="str">
        <f aca="false">GET_CVSS_ELEMENT($G12,"SA")</f>
        <v>High (H)</v>
      </c>
      <c r="U12" s="63" t="s">
        <v>8</v>
      </c>
      <c r="V12" s="64" t="n">
        <v>0.94</v>
      </c>
      <c r="W12" s="65" t="str">
        <f aca="false">GETEXPLOIT(V12,U12)</f>
        <v>Attacked (A)</v>
      </c>
      <c r="X12" s="66" t="str">
        <f aca="false">INDEX(_map_AV_MAV, MATCH(J12, INDEX(_map_AV_MAV,,1), 0), 2)</f>
        <v>Network (N)</v>
      </c>
      <c r="Y12" s="66" t="str">
        <f aca="false">INDEX(_map_AC_MAC, MATCH(K12, INDEX(_map_AC_MAC,,1), 0), 2)</f>
        <v>Low (L)</v>
      </c>
      <c r="Z12" s="67" t="s">
        <v>87</v>
      </c>
      <c r="AA12" s="67" t="s">
        <v>87</v>
      </c>
      <c r="AB12" s="67" t="s">
        <v>87</v>
      </c>
      <c r="AC12" s="67" t="s">
        <v>84</v>
      </c>
      <c r="AD12" s="67" t="s">
        <v>88</v>
      </c>
      <c r="AE12" s="67" t="s">
        <v>88</v>
      </c>
      <c r="AF12" s="67" t="s">
        <v>87</v>
      </c>
      <c r="AG12" s="67" t="s">
        <v>87</v>
      </c>
      <c r="AH12" s="67" t="s">
        <v>87</v>
      </c>
      <c r="AI12" s="68" t="str">
        <f aca="false">GET_CVSS4_VECTOR_STR(X12,Y12,Z12,AA12,AB12,AC12,AD12,AE12,AF12,AG12,AH12,W12)</f>
        <v>CVSS:4.0/AV:N/AC:L/AT:N/PR:N/UI:N/VC:L/VI:H/VA:H/SC:N/SI:N/SA:N/E:A</v>
      </c>
      <c r="AJ12" s="62" t="str">
        <f aca="false">GETMACROVECTOR(AI12)</f>
        <v>001200</v>
      </c>
      <c r="AK12" s="62" t="n">
        <f aca="false">CVSS_SCORE(AI12)</f>
        <v>8.8</v>
      </c>
      <c r="AL12" s="67" t="s">
        <v>29</v>
      </c>
      <c r="AM12" s="69"/>
      <c r="AN12" s="69" t="str">
        <f aca="false">GET_CONTROLLED_STATUS(AK12,AL12)</f>
        <v>Controlled</v>
      </c>
    </row>
    <row r="13" customFormat="false" ht="12.8" hidden="false" customHeight="false" outlineLevel="0" collapsed="false">
      <c r="A13" s="58"/>
      <c r="B13" s="59"/>
      <c r="C13" s="59"/>
      <c r="D13" s="59"/>
      <c r="E13" s="58"/>
      <c r="F13" s="58"/>
      <c r="G13" s="60" t="s">
        <v>93</v>
      </c>
      <c r="H13" s="61" t="str">
        <f aca="false">GETMACROVECTOR(G13)</f>
        <v>110200</v>
      </c>
      <c r="I13" s="62" t="n">
        <f aca="false">CVSS_SCORE(G13)</f>
        <v>7.3</v>
      </c>
      <c r="J13" s="62" t="str">
        <f aca="false">GET_CVSS_ELEMENT($G13,"AV")</f>
        <v>Local (L)</v>
      </c>
      <c r="K13" s="62" t="str">
        <f aca="false">GET_CVSS_ELEMENT($G13,"AC")</f>
        <v>Low (L)</v>
      </c>
      <c r="L13" s="62" t="str">
        <f aca="false">GET_CVSS_ELEMENT($G13,"AT")</f>
        <v>Present (P)</v>
      </c>
      <c r="M13" s="62" t="str">
        <f aca="false">GET_CVSS_ELEMENT($G13,"PR")</f>
        <v>Low (L)</v>
      </c>
      <c r="N13" s="62" t="str">
        <f aca="false">GET_CVSS_ELEMENT($G13,"UI")</f>
        <v>None (N)</v>
      </c>
      <c r="O13" s="62" t="str">
        <f aca="false">GET_CVSS_ELEMENT($G13,"VC")</f>
        <v>High (H)</v>
      </c>
      <c r="P13" s="62" t="str">
        <f aca="false">GET_CVSS_ELEMENT($G13,"VI")</f>
        <v>High (H)</v>
      </c>
      <c r="Q13" s="62" t="str">
        <f aca="false">GET_CVSS_ELEMENT($G13,"VA")</f>
        <v>High (H)</v>
      </c>
      <c r="R13" s="62" t="str">
        <f aca="false">GET_CVSS_ELEMENT($G13,"SC")</f>
        <v>None (N)</v>
      </c>
      <c r="S13" s="62" t="str">
        <f aca="false">GET_CVSS_ELEMENT($G13,"SI")</f>
        <v>None (N)</v>
      </c>
      <c r="T13" s="62" t="str">
        <f aca="false">GET_CVSS_ELEMENT($G13,"SA")</f>
        <v>None (N)</v>
      </c>
      <c r="U13" s="63" t="s">
        <v>8</v>
      </c>
      <c r="V13" s="64" t="n">
        <v>0.95</v>
      </c>
      <c r="W13" s="65" t="str">
        <f aca="false">GETEXPLOIT(V13,U13)</f>
        <v>Attacked (A)</v>
      </c>
      <c r="X13" s="66" t="str">
        <f aca="false">INDEX(_map_AV_MAV, MATCH(J13, INDEX(_map_AV_MAV,,1), 0), 2)</f>
        <v>Local (L)</v>
      </c>
      <c r="Y13" s="66" t="str">
        <f aca="false">INDEX(_map_AC_MAC, MATCH(K13, INDEX(_map_AC_MAC,,1), 0), 2)</f>
        <v>Low (L)</v>
      </c>
      <c r="Z13" s="67" t="s">
        <v>87</v>
      </c>
      <c r="AA13" s="67" t="s">
        <v>87</v>
      </c>
      <c r="AB13" s="67" t="s">
        <v>87</v>
      </c>
      <c r="AC13" s="67" t="s">
        <v>84</v>
      </c>
      <c r="AD13" s="67" t="s">
        <v>88</v>
      </c>
      <c r="AE13" s="67" t="s">
        <v>88</v>
      </c>
      <c r="AF13" s="67" t="s">
        <v>87</v>
      </c>
      <c r="AG13" s="67" t="s">
        <v>87</v>
      </c>
      <c r="AH13" s="67" t="s">
        <v>87</v>
      </c>
      <c r="AI13" s="68" t="str">
        <f aca="false">GET_CVSS4_VECTOR_STR(X13,Y13,Z13,AA13,AB13,AC13,AD13,AE13,AF13,AG13,AH13,W13)</f>
        <v>CVSS:4.0/AV:L/AC:L/AT:N/PR:N/UI:N/VC:L/VI:H/VA:H/SC:N/SI:N/SA:N/E:A</v>
      </c>
      <c r="AJ13" s="62" t="str">
        <f aca="false">GETMACROVECTOR(AI13)</f>
        <v>101200</v>
      </c>
      <c r="AK13" s="62" t="n">
        <f aca="false">CVSS_SCORE(AI13)</f>
        <v>7.1</v>
      </c>
      <c r="AL13" s="67" t="s">
        <v>29</v>
      </c>
      <c r="AM13" s="69"/>
      <c r="AN13" s="69" t="str">
        <f aca="false">GET_CONTROLLED_STATUS(AK13,AL13)</f>
        <v>Controlled</v>
      </c>
    </row>
    <row r="14" customFormat="false" ht="12.8" hidden="false" customHeight="false" outlineLevel="0" collapsed="false">
      <c r="A14" s="58"/>
      <c r="B14" s="59"/>
      <c r="C14" s="59"/>
      <c r="D14" s="59"/>
      <c r="E14" s="58"/>
      <c r="F14" s="58"/>
      <c r="G14" s="60" t="s">
        <v>98</v>
      </c>
      <c r="H14" s="61" t="str">
        <f aca="false">GETMACROVECTOR(G14)</f>
        <v>102201</v>
      </c>
      <c r="I14" s="62" t="n">
        <f aca="false">CVSS_SCORE(G14)</f>
        <v>5.1</v>
      </c>
      <c r="J14" s="62" t="str">
        <f aca="false">GET_CVSS_ELEMENT($G14,"AV")</f>
        <v>Network (N)</v>
      </c>
      <c r="K14" s="62" t="str">
        <f aca="false">GET_CVSS_ELEMENT($G14,"AC")</f>
        <v>Low (L)</v>
      </c>
      <c r="L14" s="62" t="str">
        <f aca="false">GET_CVSS_ELEMENT($G14,"AT")</f>
        <v>None (N)</v>
      </c>
      <c r="M14" s="62" t="str">
        <f aca="false">GET_CVSS_ELEMENT($G14,"PR")</f>
        <v>None (N)</v>
      </c>
      <c r="N14" s="62" t="str">
        <f aca="false">GET_CVSS_ELEMENT($G14,"UI")</f>
        <v>Active (A)</v>
      </c>
      <c r="O14" s="62" t="str">
        <f aca="false">GET_CVSS_ELEMENT($G14,"VC")</f>
        <v>None (N)</v>
      </c>
      <c r="P14" s="62" t="str">
        <f aca="false">GET_CVSS_ELEMENT($G14,"VI")</f>
        <v>None (N)</v>
      </c>
      <c r="Q14" s="62" t="str">
        <f aca="false">GET_CVSS_ELEMENT($G14,"VA")</f>
        <v>None (N)</v>
      </c>
      <c r="R14" s="62" t="str">
        <f aca="false">GET_CVSS_ELEMENT($G14,"SC")</f>
        <v>Low (L)</v>
      </c>
      <c r="S14" s="62" t="str">
        <f aca="false">GET_CVSS_ELEMENT($G14,"SI")</f>
        <v>Low (L)</v>
      </c>
      <c r="T14" s="62" t="str">
        <f aca="false">GET_CVSS_ELEMENT($G14,"SA")</f>
        <v>None (N)</v>
      </c>
      <c r="U14" s="63" t="s">
        <v>8</v>
      </c>
      <c r="V14" s="64" t="n">
        <v>0.96</v>
      </c>
      <c r="W14" s="65" t="str">
        <f aca="false">GETEXPLOIT(V14,U14)</f>
        <v>Attacked (A)</v>
      </c>
      <c r="X14" s="66" t="str">
        <f aca="false">INDEX(_map_AV_MAV, MATCH(J14, INDEX(_map_AV_MAV,,1), 0), 2)</f>
        <v>Network (N)</v>
      </c>
      <c r="Y14" s="66" t="str">
        <f aca="false">INDEX(_map_AC_MAC, MATCH(K14, INDEX(_map_AC_MAC,,1), 0), 2)</f>
        <v>Low (L)</v>
      </c>
      <c r="Z14" s="67" t="s">
        <v>87</v>
      </c>
      <c r="AA14" s="67" t="s">
        <v>87</v>
      </c>
      <c r="AB14" s="67" t="s">
        <v>87</v>
      </c>
      <c r="AC14" s="67" t="s">
        <v>84</v>
      </c>
      <c r="AD14" s="67" t="s">
        <v>88</v>
      </c>
      <c r="AE14" s="67" t="s">
        <v>88</v>
      </c>
      <c r="AF14" s="67" t="s">
        <v>87</v>
      </c>
      <c r="AG14" s="67" t="s">
        <v>87</v>
      </c>
      <c r="AH14" s="67" t="s">
        <v>87</v>
      </c>
      <c r="AI14" s="68" t="str">
        <f aca="false">GET_CVSS4_VECTOR_STR(X14,Y14,Z14,AA14,AB14,AC14,AD14,AE14,AF14,AG14,AH14,W14)</f>
        <v>CVSS:4.0/AV:N/AC:L/AT:N/PR:N/UI:N/VC:L/VI:H/VA:H/SC:N/SI:N/SA:N/E:A</v>
      </c>
      <c r="AJ14" s="62" t="str">
        <f aca="false">GETMACROVECTOR(AI14)</f>
        <v>001200</v>
      </c>
      <c r="AK14" s="62" t="n">
        <f aca="false">CVSS_SCORE(AI14)</f>
        <v>8.8</v>
      </c>
      <c r="AL14" s="67" t="s">
        <v>29</v>
      </c>
      <c r="AM14" s="69"/>
      <c r="AN14" s="69" t="str">
        <f aca="false">GET_CONTROLLED_STATUS(AK14,AL14)</f>
        <v>Controlled</v>
      </c>
    </row>
    <row r="15" customFormat="false" ht="12.8" hidden="false" customHeight="false" outlineLevel="0" collapsed="false">
      <c r="A15" s="58"/>
      <c r="B15" s="59"/>
      <c r="C15" s="59"/>
      <c r="D15" s="59"/>
      <c r="E15" s="58"/>
      <c r="F15" s="58"/>
      <c r="G15" s="60" t="s">
        <v>99</v>
      </c>
      <c r="H15" s="61" t="str">
        <f aca="false">GETMACROVECTOR(G15)</f>
        <v>212201</v>
      </c>
      <c r="I15" s="62" t="n">
        <f aca="false">CVSS_SCORE(G15)</f>
        <v>1</v>
      </c>
      <c r="J15" s="62" t="str">
        <f aca="false">GET_CVSS_ELEMENT($G15,"AV")</f>
        <v>Local (L)</v>
      </c>
      <c r="K15" s="62" t="str">
        <f aca="false">GET_CVSS_ELEMENT($G15,"AC")</f>
        <v>Low (L)</v>
      </c>
      <c r="L15" s="62" t="str">
        <f aca="false">GET_CVSS_ELEMENT($G15,"AT")</f>
        <v>Present (P)</v>
      </c>
      <c r="M15" s="62" t="str">
        <f aca="false">GET_CVSS_ELEMENT($G15,"PR")</f>
        <v>Low (L)</v>
      </c>
      <c r="N15" s="62" t="str">
        <f aca="false">GET_CVSS_ELEMENT($G15,"UI")</f>
        <v>Active (A)</v>
      </c>
      <c r="O15" s="62" t="str">
        <f aca="false">GET_CVSS_ELEMENT($G15,"VC")</f>
        <v>None (N)</v>
      </c>
      <c r="P15" s="62" t="str">
        <f aca="false">GET_CVSS_ELEMENT($G15,"VI")</f>
        <v>None (N)</v>
      </c>
      <c r="Q15" s="62" t="str">
        <f aca="false">GET_CVSS_ELEMENT($G15,"VA")</f>
        <v>None (N)</v>
      </c>
      <c r="R15" s="62" t="str">
        <f aca="false">GET_CVSS_ELEMENT($G15,"SC")</f>
        <v>Low (L)</v>
      </c>
      <c r="S15" s="62" t="str">
        <f aca="false">GET_CVSS_ELEMENT($G15,"SI")</f>
        <v>Low (L)</v>
      </c>
      <c r="T15" s="62" t="str">
        <f aca="false">GET_CVSS_ELEMENT($G15,"SA")</f>
        <v>None (N)</v>
      </c>
      <c r="U15" s="63" t="s">
        <v>8</v>
      </c>
      <c r="V15" s="64" t="n">
        <v>0.97</v>
      </c>
      <c r="W15" s="65" t="str">
        <f aca="false">GETEXPLOIT(V15,U15)</f>
        <v>Attacked (A)</v>
      </c>
      <c r="X15" s="66" t="str">
        <f aca="false">INDEX(_map_AV_MAV, MATCH(J15, INDEX(_map_AV_MAV,,1), 0), 2)</f>
        <v>Local (L)</v>
      </c>
      <c r="Y15" s="66" t="str">
        <f aca="false">INDEX(_map_AC_MAC, MATCH(K15, INDEX(_map_AC_MAC,,1), 0), 2)</f>
        <v>Low (L)</v>
      </c>
      <c r="Z15" s="67" t="s">
        <v>87</v>
      </c>
      <c r="AA15" s="67" t="s">
        <v>87</v>
      </c>
      <c r="AB15" s="67" t="s">
        <v>87</v>
      </c>
      <c r="AC15" s="67" t="s">
        <v>84</v>
      </c>
      <c r="AD15" s="67" t="s">
        <v>88</v>
      </c>
      <c r="AE15" s="67" t="s">
        <v>88</v>
      </c>
      <c r="AF15" s="67" t="s">
        <v>87</v>
      </c>
      <c r="AG15" s="67" t="s">
        <v>87</v>
      </c>
      <c r="AH15" s="67" t="s">
        <v>87</v>
      </c>
      <c r="AI15" s="68" t="str">
        <f aca="false">GET_CVSS4_VECTOR_STR(X15,Y15,Z15,AA15,AB15,AC15,AD15,AE15,AF15,AG15,AH15,W15)</f>
        <v>CVSS:4.0/AV:L/AC:L/AT:N/PR:N/UI:N/VC:L/VI:H/VA:H/SC:N/SI:N/SA:N/E:A</v>
      </c>
      <c r="AJ15" s="62" t="str">
        <f aca="false">GETMACROVECTOR(AI15)</f>
        <v>101200</v>
      </c>
      <c r="AK15" s="62" t="n">
        <f aca="false">CVSS_SCORE(AI15)</f>
        <v>7.1</v>
      </c>
      <c r="AL15" s="67" t="s">
        <v>29</v>
      </c>
      <c r="AM15" s="69"/>
      <c r="AN15" s="69" t="str">
        <f aca="false">GET_CONTROLLED_STATUS(AK15,AL15)</f>
        <v>Controlled</v>
      </c>
    </row>
    <row r="16" customFormat="false" ht="12.8" hidden="false" customHeight="false" outlineLevel="0" collapsed="false">
      <c r="A16" s="58"/>
      <c r="B16" s="59"/>
      <c r="C16" s="59"/>
      <c r="D16" s="59"/>
      <c r="E16" s="58"/>
      <c r="F16" s="58"/>
      <c r="G16" s="60" t="s">
        <v>100</v>
      </c>
      <c r="H16" s="61" t="str">
        <f aca="false">GETMACROVECTOR(G16)</f>
        <v>110220</v>
      </c>
      <c r="I16" s="62" t="n">
        <f aca="false">CVSS_SCORE(G16)</f>
        <v>5.2</v>
      </c>
      <c r="J16" s="62" t="str">
        <f aca="false">GET_CVSS_ELEMENT($G16,"AV")</f>
        <v>Network (N)</v>
      </c>
      <c r="K16" s="62" t="str">
        <f aca="false">GET_CVSS_ELEMENT($G16,"AC")</f>
        <v>Low (L)</v>
      </c>
      <c r="L16" s="62" t="str">
        <f aca="false">GET_CVSS_ELEMENT($G16,"AT")</f>
        <v>Present (P)</v>
      </c>
      <c r="M16" s="62" t="str">
        <f aca="false">GET_CVSS_ELEMENT($G16,"PR")</f>
        <v>None (N)</v>
      </c>
      <c r="N16" s="62" t="str">
        <f aca="false">GET_CVSS_ELEMENT($G16,"UI")</f>
        <v>Passive (P)</v>
      </c>
      <c r="O16" s="62" t="str">
        <f aca="false">GET_CVSS_ELEMENT($G16,"VC")</f>
        <v>High (H)</v>
      </c>
      <c r="P16" s="62" t="str">
        <f aca="false">GET_CVSS_ELEMENT($G16,"VI")</f>
        <v>High (H)</v>
      </c>
      <c r="Q16" s="62" t="str">
        <f aca="false">GET_CVSS_ELEMENT($G16,"VA")</f>
        <v>High (H)</v>
      </c>
      <c r="R16" s="62" t="str">
        <f aca="false">GET_CVSS_ELEMENT($G16,"SC")</f>
        <v>None (N)</v>
      </c>
      <c r="S16" s="62" t="str">
        <f aca="false">GET_CVSS_ELEMENT($G16,"SI")</f>
        <v>None (N)</v>
      </c>
      <c r="T16" s="62" t="str">
        <f aca="false">GET_CVSS_ELEMENT($G16,"SA")</f>
        <v>None (N)</v>
      </c>
      <c r="U16" s="63" t="s">
        <v>8</v>
      </c>
      <c r="V16" s="64" t="n">
        <v>0.98</v>
      </c>
      <c r="W16" s="65" t="str">
        <f aca="false">GETEXPLOIT(V16,U16)</f>
        <v>Attacked (A)</v>
      </c>
      <c r="X16" s="66" t="str">
        <f aca="false">INDEX(_map_AV_MAV, MATCH(J16, INDEX(_map_AV_MAV,,1), 0), 2)</f>
        <v>Network (N)</v>
      </c>
      <c r="Y16" s="66" t="str">
        <f aca="false">INDEX(_map_AC_MAC, MATCH(K16, INDEX(_map_AC_MAC,,1), 0), 2)</f>
        <v>Low (L)</v>
      </c>
      <c r="Z16" s="67" t="s">
        <v>87</v>
      </c>
      <c r="AA16" s="67" t="s">
        <v>87</v>
      </c>
      <c r="AB16" s="67" t="s">
        <v>87</v>
      </c>
      <c r="AC16" s="67" t="s">
        <v>84</v>
      </c>
      <c r="AD16" s="67" t="s">
        <v>88</v>
      </c>
      <c r="AE16" s="67" t="s">
        <v>88</v>
      </c>
      <c r="AF16" s="67" t="s">
        <v>87</v>
      </c>
      <c r="AG16" s="67" t="s">
        <v>87</v>
      </c>
      <c r="AH16" s="67" t="s">
        <v>87</v>
      </c>
      <c r="AI16" s="68" t="str">
        <f aca="false">GET_CVSS4_VECTOR_STR(X16,Y16,Z16,AA16,AB16,AC16,AD16,AE16,AF16,AG16,AH16,W16)</f>
        <v>CVSS:4.0/AV:N/AC:L/AT:N/PR:N/UI:N/VC:L/VI:H/VA:H/SC:N/SI:N/SA:N/E:A</v>
      </c>
      <c r="AJ16" s="62" t="str">
        <f aca="false">GETMACROVECTOR(AI16)</f>
        <v>001200</v>
      </c>
      <c r="AK16" s="62" t="n">
        <f aca="false">CVSS_SCORE(AI16)</f>
        <v>8.8</v>
      </c>
      <c r="AL16" s="67" t="s">
        <v>29</v>
      </c>
      <c r="AM16" s="69"/>
      <c r="AN16" s="69" t="str">
        <f aca="false">GET_CONTROLLED_STATUS(AK16,AL16)</f>
        <v>Controlled</v>
      </c>
    </row>
  </sheetData>
  <autoFilter ref="A2:AM8"/>
  <mergeCells count="7">
    <mergeCell ref="A1:F1"/>
    <mergeCell ref="G1:T1"/>
    <mergeCell ref="U1:W1"/>
    <mergeCell ref="X1:AH1"/>
    <mergeCell ref="AI1:AK1"/>
    <mergeCell ref="AL1:AM1"/>
    <mergeCell ref="AN1:AN2"/>
  </mergeCells>
  <conditionalFormatting sqref="AN3:AN16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4">
    <dataValidation allowBlank="true" errorStyle="stop" operator="equal" showDropDown="false" showErrorMessage="true" showInputMessage="false" sqref="G1:H1 U1:U2 A2:T16 V3:W16 AI3:AK16 AM3:AN16 G17:H1008 U17:U1008" type="none">
      <formula1>0</formula1>
      <formula2>0</formula2>
    </dataValidation>
    <dataValidation allowBlank="true" errorStyle="stop" operator="equal" showDropDown="false" showErrorMessage="true" showInputMessage="false" sqref="U3:U16" type="list">
      <formula1>_lookup_YesNo</formula1>
      <formula2>0</formula2>
    </dataValidation>
    <dataValidation allowBlank="true" errorStyle="stop" operator="equal" showDropDown="false" showErrorMessage="true" showInputMessage="false" sqref="X3:X16" type="list">
      <formula1>_lookup_AV</formula1>
      <formula2>0</formula2>
    </dataValidation>
    <dataValidation allowBlank="true" errorStyle="stop" operator="equal" showDropDown="false" showErrorMessage="true" showInputMessage="false" sqref="Y3:Y16" type="list">
      <formula1>_lookup_AC</formula1>
      <formula2>0</formula2>
    </dataValidation>
    <dataValidation allowBlank="true" errorStyle="stop" operator="equal" showDropDown="false" showErrorMessage="true" showInputMessage="false" sqref="Z3:Z16" type="list">
      <formula1>_lookup_AT</formula1>
      <formula2>0</formula2>
    </dataValidation>
    <dataValidation allowBlank="true" errorStyle="stop" operator="equal" showDropDown="false" showErrorMessage="true" showInputMessage="false" sqref="AA3:AA16" type="list">
      <formula1>_lookup_PR</formula1>
      <formula2>0</formula2>
    </dataValidation>
    <dataValidation allowBlank="true" errorStyle="stop" operator="equal" showDropDown="false" showErrorMessage="true" showInputMessage="false" sqref="AB3:AB16" type="list">
      <formula1>_lookup_UI</formula1>
      <formula2>0</formula2>
    </dataValidation>
    <dataValidation allowBlank="true" errorStyle="stop" operator="equal" showDropDown="false" showErrorMessage="true" showInputMessage="false" sqref="AC3:AC16" type="list">
      <formula1>_lookup_VC</formula1>
      <formula2>0</formula2>
    </dataValidation>
    <dataValidation allowBlank="true" errorStyle="stop" operator="equal" showDropDown="false" showErrorMessage="true" showInputMessage="false" sqref="AD3:AD16" type="list">
      <formula1>_lookup_VI</formula1>
      <formula2>0</formula2>
    </dataValidation>
    <dataValidation allowBlank="true" errorStyle="stop" operator="equal" showDropDown="false" showErrorMessage="true" showInputMessage="false" sqref="AE3:AE16" type="list">
      <formula1>_lookup_VA</formula1>
      <formula2>0</formula2>
    </dataValidation>
    <dataValidation allowBlank="true" errorStyle="stop" operator="equal" showDropDown="false" showErrorMessage="true" showInputMessage="false" sqref="AF3:AF16" type="list">
      <formula1>_lookup_SC</formula1>
      <formula2>0</formula2>
    </dataValidation>
    <dataValidation allowBlank="true" errorStyle="stop" operator="equal" showDropDown="false" showErrorMessage="true" showInputMessage="false" sqref="AG3:AG16" type="list">
      <formula1>_lookup_MSI</formula1>
      <formula2>0</formula2>
    </dataValidation>
    <dataValidation allowBlank="true" errorStyle="stop" operator="equal" showDropDown="false" showErrorMessage="true" showInputMessage="false" sqref="AH3:AH16" type="list">
      <formula1>_lookup_MSA</formula1>
      <formula2>0</formula2>
    </dataValidation>
    <dataValidation allowBlank="true" errorStyle="stop" operator="equal" showDropDown="false" showErrorMessage="true" showInputMessage="false" sqref="AL3:AL16" type="list">
      <formula1>_lookup_SafetyRating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L87"/>
  <sheetViews>
    <sheetView showFormulas="false" showGridLines="true" showRowColHeaders="true" showZeros="true" rightToLeft="false" tabSelected="false" showOutlineSymbols="true" defaultGridColor="true" view="normal" topLeftCell="B57" colorId="64" zoomScale="100" zoomScaleNormal="100" zoomScalePageLayoutView="100" workbookViewId="0">
      <selection pane="topLeft" activeCell="D83" activeCellId="0" sqref="D83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0" min="9" style="1" width="11.53"/>
    <col collapsed="false" customWidth="true" hidden="false" outlineLevel="0" max="11" min="11" style="1" width="13.38"/>
    <col collapsed="false" customWidth="true" hidden="false" outlineLevel="0" max="12" min="12" style="1" width="13.07"/>
    <col collapsed="false" customWidth="false" hidden="false" outlineLevel="0" max="16384" min="13" style="1" width="11.53"/>
  </cols>
  <sheetData>
    <row r="1" customFormat="false" ht="17.4" hidden="false" customHeight="true" outlineLevel="0" collapsed="false">
      <c r="A1" s="29"/>
      <c r="B1" s="70" t="s">
        <v>101</v>
      </c>
      <c r="C1" s="29"/>
      <c r="D1" s="29"/>
      <c r="E1" s="29"/>
      <c r="F1" s="70" t="s">
        <v>102</v>
      </c>
      <c r="G1" s="29"/>
      <c r="H1" s="29"/>
      <c r="I1" s="29"/>
    </row>
    <row r="2" customFormat="false" ht="17.4" hidden="false" customHeight="true" outlineLevel="0" collapsed="false">
      <c r="A2" s="29"/>
      <c r="B2" s="71" t="s">
        <v>54</v>
      </c>
      <c r="C2" s="71"/>
      <c r="D2" s="71"/>
      <c r="E2" s="29"/>
      <c r="F2" s="71" t="s">
        <v>44</v>
      </c>
      <c r="G2" s="71"/>
      <c r="H2" s="71"/>
      <c r="I2" s="29"/>
      <c r="J2" s="71" t="s">
        <v>11</v>
      </c>
      <c r="K2" s="71"/>
      <c r="L2" s="71"/>
    </row>
    <row r="3" customFormat="false" ht="17.4" hidden="false" customHeight="true" outlineLevel="0" collapsed="false">
      <c r="A3" s="29"/>
      <c r="B3" s="72" t="s">
        <v>103</v>
      </c>
      <c r="C3" s="72" t="s">
        <v>104</v>
      </c>
      <c r="D3" s="72" t="s">
        <v>105</v>
      </c>
      <c r="E3" s="29"/>
      <c r="F3" s="72" t="s">
        <v>103</v>
      </c>
      <c r="G3" s="72" t="s">
        <v>104</v>
      </c>
      <c r="H3" s="72" t="s">
        <v>105</v>
      </c>
      <c r="I3" s="29"/>
      <c r="J3" s="72" t="s">
        <v>103</v>
      </c>
      <c r="K3" s="72" t="s">
        <v>104</v>
      </c>
      <c r="L3" s="72" t="s">
        <v>105</v>
      </c>
    </row>
    <row r="4" customFormat="false" ht="17.4" hidden="false" customHeight="true" outlineLevel="0" collapsed="false">
      <c r="A4" s="29"/>
      <c r="B4" s="73" t="s">
        <v>106</v>
      </c>
      <c r="C4" s="74" t="s">
        <v>107</v>
      </c>
      <c r="D4" s="74" t="str">
        <f aca="false">C4&amp;" ("&amp;B4&amp;")"</f>
        <v>Network (N)</v>
      </c>
      <c r="E4" s="29"/>
      <c r="F4" s="73" t="s">
        <v>108</v>
      </c>
      <c r="G4" s="74" t="s">
        <v>109</v>
      </c>
      <c r="H4" s="74" t="str">
        <f aca="false">G4&amp;" ("&amp;F4&amp;")"</f>
        <v>Not Defined (X)</v>
      </c>
      <c r="I4" s="29"/>
      <c r="J4" s="73" t="s">
        <v>110</v>
      </c>
      <c r="K4" s="74" t="s">
        <v>111</v>
      </c>
      <c r="L4" s="74" t="str">
        <f aca="false">K4&amp;" ("&amp;J4&amp;")"</f>
        <v>Yes (Y)</v>
      </c>
    </row>
    <row r="5" customFormat="false" ht="17.4" hidden="false" customHeight="true" outlineLevel="0" collapsed="false">
      <c r="A5" s="29"/>
      <c r="B5" s="75" t="s">
        <v>112</v>
      </c>
      <c r="C5" s="76" t="s">
        <v>113</v>
      </c>
      <c r="D5" s="74" t="str">
        <f aca="false">C5&amp;" ("&amp;B5&amp;")"</f>
        <v>Adjacent (A)</v>
      </c>
      <c r="E5" s="29"/>
      <c r="F5" s="75" t="s">
        <v>106</v>
      </c>
      <c r="G5" s="76" t="s">
        <v>29</v>
      </c>
      <c r="H5" s="74" t="str">
        <f aca="false">G5&amp;" ("&amp;F5&amp;")"</f>
        <v>Negligible (N)</v>
      </c>
      <c r="I5" s="29"/>
      <c r="J5" s="75" t="s">
        <v>106</v>
      </c>
      <c r="K5" s="76" t="s">
        <v>114</v>
      </c>
      <c r="L5" s="74" t="str">
        <f aca="false">K5&amp;" ("&amp;J5&amp;")"</f>
        <v>No (N)</v>
      </c>
    </row>
    <row r="6" customFormat="false" ht="17.4" hidden="false" customHeight="true" outlineLevel="0" collapsed="false">
      <c r="A6" s="29"/>
      <c r="B6" s="73" t="s">
        <v>115</v>
      </c>
      <c r="C6" s="74" t="s">
        <v>116</v>
      </c>
      <c r="D6" s="74" t="str">
        <f aca="false">C6&amp;" ("&amp;B6&amp;")"</f>
        <v>Local (L)</v>
      </c>
      <c r="E6" s="29"/>
      <c r="F6" s="73" t="s">
        <v>117</v>
      </c>
      <c r="G6" s="74" t="s">
        <v>118</v>
      </c>
      <c r="H6" s="74" t="str">
        <f aca="false">G6&amp;" ("&amp;F6&amp;")"</f>
        <v>Present (P)</v>
      </c>
      <c r="I6" s="29"/>
      <c r="J6" s="73"/>
      <c r="K6" s="74"/>
      <c r="L6" s="74"/>
    </row>
    <row r="7" customFormat="false" ht="17.4" hidden="false" customHeight="true" outlineLevel="0" collapsed="false">
      <c r="A7" s="29"/>
      <c r="B7" s="75" t="s">
        <v>117</v>
      </c>
      <c r="C7" s="76" t="s">
        <v>119</v>
      </c>
      <c r="D7" s="74" t="str">
        <f aca="false">C7&amp;" ("&amp;B7&amp;")"</f>
        <v>Physical (P)</v>
      </c>
      <c r="E7" s="29"/>
      <c r="F7" s="29"/>
      <c r="G7" s="29"/>
      <c r="H7" s="29"/>
      <c r="I7" s="29"/>
    </row>
    <row r="8" customFormat="false" ht="17.4" hidden="false" customHeight="true" outlineLevel="0" collapsed="false">
      <c r="A8" s="29"/>
      <c r="B8" s="29"/>
      <c r="C8" s="29"/>
      <c r="D8" s="29"/>
      <c r="E8" s="29"/>
      <c r="F8" s="71" t="s">
        <v>120</v>
      </c>
      <c r="G8" s="71"/>
      <c r="H8" s="71"/>
      <c r="I8" s="29"/>
    </row>
    <row r="9" customFormat="false" ht="17.4" hidden="false" customHeight="true" outlineLevel="0" collapsed="false">
      <c r="A9" s="29"/>
      <c r="B9" s="77" t="s">
        <v>55</v>
      </c>
      <c r="C9" s="77"/>
      <c r="D9" s="77"/>
      <c r="E9" s="29"/>
      <c r="F9" s="72" t="s">
        <v>103</v>
      </c>
      <c r="G9" s="72" t="s">
        <v>104</v>
      </c>
      <c r="H9" s="72" t="s">
        <v>105</v>
      </c>
      <c r="I9" s="29"/>
    </row>
    <row r="10" customFormat="false" ht="17.4" hidden="false" customHeight="true" outlineLevel="0" collapsed="false">
      <c r="A10" s="29"/>
      <c r="B10" s="72" t="s">
        <v>103</v>
      </c>
      <c r="C10" s="72" t="s">
        <v>104</v>
      </c>
      <c r="D10" s="72" t="s">
        <v>105</v>
      </c>
      <c r="E10" s="29"/>
      <c r="F10" s="73" t="s">
        <v>108</v>
      </c>
      <c r="G10" s="74" t="s">
        <v>109</v>
      </c>
      <c r="H10" s="74" t="str">
        <f aca="false">G10&amp;" ("&amp;F10&amp;")"</f>
        <v>Not Defined (X)</v>
      </c>
      <c r="I10" s="29"/>
    </row>
    <row r="11" customFormat="false" ht="17.4" hidden="false" customHeight="true" outlineLevel="0" collapsed="false">
      <c r="A11" s="29"/>
      <c r="B11" s="73" t="s">
        <v>115</v>
      </c>
      <c r="C11" s="74" t="s">
        <v>38</v>
      </c>
      <c r="D11" s="74" t="str">
        <f aca="false">C11&amp;" ("&amp;B11&amp;")"</f>
        <v>Low (L)</v>
      </c>
      <c r="E11" s="29"/>
      <c r="F11" s="73" t="s">
        <v>106</v>
      </c>
      <c r="G11" s="74" t="s">
        <v>114</v>
      </c>
      <c r="H11" s="74" t="str">
        <f aca="false">G11&amp;" ("&amp;F11&amp;")"</f>
        <v>No (N)</v>
      </c>
      <c r="I11" s="29"/>
    </row>
    <row r="12" customFormat="false" ht="17.4" hidden="false" customHeight="true" outlineLevel="0" collapsed="false">
      <c r="A12" s="29"/>
      <c r="B12" s="75" t="s">
        <v>121</v>
      </c>
      <c r="C12" s="76" t="s">
        <v>35</v>
      </c>
      <c r="D12" s="74" t="str">
        <f aca="false">C12&amp;" ("&amp;B12&amp;")"</f>
        <v>High (H)</v>
      </c>
      <c r="E12" s="29"/>
      <c r="F12" s="75" t="s">
        <v>110</v>
      </c>
      <c r="G12" s="76" t="s">
        <v>111</v>
      </c>
      <c r="H12" s="74" t="str">
        <f aca="false">G12&amp;" ("&amp;F12&amp;")"</f>
        <v>Yes (Y)</v>
      </c>
      <c r="I12" s="29"/>
    </row>
    <row r="13" customFormat="false" ht="17.4" hidden="false" customHeight="true" outlineLevel="0" collapsed="false">
      <c r="A13" s="29"/>
      <c r="B13" s="29"/>
      <c r="C13" s="29"/>
      <c r="D13" s="29"/>
      <c r="E13" s="29"/>
      <c r="F13" s="29"/>
      <c r="G13" s="29"/>
      <c r="H13" s="29"/>
      <c r="I13" s="29"/>
    </row>
    <row r="14" customFormat="false" ht="17.4" hidden="false" customHeight="true" outlineLevel="0" collapsed="false">
      <c r="A14" s="29"/>
      <c r="B14" s="77" t="s">
        <v>56</v>
      </c>
      <c r="C14" s="77"/>
      <c r="D14" s="77"/>
      <c r="E14" s="29"/>
      <c r="F14" s="71" t="s">
        <v>122</v>
      </c>
      <c r="G14" s="71"/>
      <c r="H14" s="71"/>
      <c r="I14" s="29"/>
    </row>
    <row r="15" customFormat="false" ht="17.4" hidden="false" customHeight="true" outlineLevel="0" collapsed="false">
      <c r="A15" s="29"/>
      <c r="B15" s="72" t="s">
        <v>103</v>
      </c>
      <c r="C15" s="72" t="s">
        <v>104</v>
      </c>
      <c r="D15" s="72" t="s">
        <v>105</v>
      </c>
      <c r="E15" s="29"/>
      <c r="F15" s="72" t="s">
        <v>103</v>
      </c>
      <c r="G15" s="72" t="s">
        <v>104</v>
      </c>
      <c r="H15" s="72" t="s">
        <v>105</v>
      </c>
      <c r="I15" s="29"/>
    </row>
    <row r="16" customFormat="false" ht="17.4" hidden="false" customHeight="true" outlineLevel="0" collapsed="false">
      <c r="A16" s="29"/>
      <c r="B16" s="73" t="s">
        <v>106</v>
      </c>
      <c r="C16" s="74" t="s">
        <v>39</v>
      </c>
      <c r="D16" s="74" t="str">
        <f aca="false">C16&amp;" ("&amp;B16&amp;")"</f>
        <v>None (N)</v>
      </c>
      <c r="E16" s="29"/>
      <c r="F16" s="73" t="s">
        <v>108</v>
      </c>
      <c r="G16" s="74" t="s">
        <v>109</v>
      </c>
      <c r="H16" s="74" t="str">
        <f aca="false">G16&amp;" ("&amp;F16&amp;")"</f>
        <v>Not Defined (X)</v>
      </c>
      <c r="I16" s="29"/>
    </row>
    <row r="17" customFormat="false" ht="17.4" hidden="false" customHeight="true" outlineLevel="0" collapsed="false">
      <c r="A17" s="29"/>
      <c r="B17" s="75" t="s">
        <v>117</v>
      </c>
      <c r="C17" s="76" t="s">
        <v>118</v>
      </c>
      <c r="D17" s="74" t="str">
        <f aca="false">C17&amp;" ("&amp;B17&amp;")"</f>
        <v>Present (P)</v>
      </c>
      <c r="E17" s="29"/>
      <c r="F17" s="73" t="s">
        <v>112</v>
      </c>
      <c r="G17" s="74" t="s">
        <v>123</v>
      </c>
      <c r="H17" s="74" t="str">
        <f aca="false">G17&amp;" ("&amp;F17&amp;")"</f>
        <v>Automatic (A)</v>
      </c>
      <c r="I17" s="29"/>
    </row>
    <row r="18" customFormat="false" ht="17.4" hidden="false" customHeight="true" outlineLevel="0" collapsed="false">
      <c r="A18" s="29"/>
      <c r="B18" s="29"/>
      <c r="C18" s="29"/>
      <c r="D18" s="29"/>
      <c r="E18" s="29"/>
      <c r="F18" s="73" t="s">
        <v>124</v>
      </c>
      <c r="G18" s="74" t="s">
        <v>125</v>
      </c>
      <c r="H18" s="74" t="str">
        <f aca="false">G18&amp;" ("&amp;F18&amp;")"</f>
        <v>User (U)</v>
      </c>
      <c r="I18" s="29"/>
    </row>
    <row r="19" customFormat="false" ht="17.4" hidden="false" customHeight="true" outlineLevel="0" collapsed="false">
      <c r="A19" s="29"/>
      <c r="B19" s="77" t="s">
        <v>126</v>
      </c>
      <c r="C19" s="77"/>
      <c r="D19" s="77"/>
      <c r="E19" s="29"/>
      <c r="F19" s="75" t="s">
        <v>127</v>
      </c>
      <c r="G19" s="76" t="s">
        <v>128</v>
      </c>
      <c r="H19" s="74" t="str">
        <f aca="false">G19&amp;" ("&amp;F19&amp;")"</f>
        <v>Irrecoverable (I)</v>
      </c>
      <c r="I19" s="29"/>
    </row>
    <row r="20" customFormat="false" ht="17.4" hidden="false" customHeight="true" outlineLevel="0" collapsed="false">
      <c r="A20" s="29"/>
      <c r="B20" s="72" t="s">
        <v>103</v>
      </c>
      <c r="C20" s="72" t="s">
        <v>104</v>
      </c>
      <c r="D20" s="72" t="s">
        <v>105</v>
      </c>
      <c r="E20" s="29"/>
      <c r="F20" s="29"/>
      <c r="G20" s="29"/>
      <c r="H20" s="29"/>
      <c r="I20" s="29"/>
    </row>
    <row r="21" customFormat="false" ht="17.4" hidden="false" customHeight="true" outlineLevel="0" collapsed="false">
      <c r="A21" s="29"/>
      <c r="B21" s="73" t="s">
        <v>106</v>
      </c>
      <c r="C21" s="74" t="s">
        <v>39</v>
      </c>
      <c r="D21" s="74" t="str">
        <f aca="false">C21&amp;" ("&amp;B21&amp;")"</f>
        <v>None (N)</v>
      </c>
      <c r="E21" s="29"/>
      <c r="F21" s="71" t="s">
        <v>129</v>
      </c>
      <c r="G21" s="71"/>
      <c r="H21" s="71"/>
      <c r="I21" s="29"/>
    </row>
    <row r="22" customFormat="false" ht="17.4" hidden="false" customHeight="true" outlineLevel="0" collapsed="false">
      <c r="A22" s="29"/>
      <c r="B22" s="75" t="s">
        <v>115</v>
      </c>
      <c r="C22" s="76" t="s">
        <v>38</v>
      </c>
      <c r="D22" s="74" t="str">
        <f aca="false">C22&amp;" ("&amp;B22&amp;")"</f>
        <v>Low (L)</v>
      </c>
      <c r="E22" s="29"/>
      <c r="F22" s="72" t="s">
        <v>103</v>
      </c>
      <c r="G22" s="72" t="s">
        <v>104</v>
      </c>
      <c r="H22" s="72" t="s">
        <v>105</v>
      </c>
      <c r="I22" s="29"/>
    </row>
    <row r="23" customFormat="false" ht="17.4" hidden="false" customHeight="true" outlineLevel="0" collapsed="false">
      <c r="A23" s="29"/>
      <c r="B23" s="73" t="s">
        <v>121</v>
      </c>
      <c r="C23" s="74" t="s">
        <v>35</v>
      </c>
      <c r="D23" s="74" t="str">
        <f aca="false">C23&amp;" ("&amp;B23&amp;")"</f>
        <v>High (H)</v>
      </c>
      <c r="E23" s="29"/>
      <c r="F23" s="73" t="s">
        <v>108</v>
      </c>
      <c r="G23" s="74" t="s">
        <v>109</v>
      </c>
      <c r="H23" s="74" t="str">
        <f aca="false">G23&amp;" ("&amp;F23&amp;")"</f>
        <v>Not Defined (X)</v>
      </c>
      <c r="I23" s="29"/>
    </row>
    <row r="24" customFormat="false" ht="17.4" hidden="false" customHeight="true" outlineLevel="0" collapsed="false">
      <c r="A24" s="29"/>
      <c r="B24" s="29"/>
      <c r="C24" s="29"/>
      <c r="D24" s="29"/>
      <c r="E24" s="29"/>
      <c r="F24" s="75" t="s">
        <v>115</v>
      </c>
      <c r="G24" s="76" t="s">
        <v>130</v>
      </c>
      <c r="H24" s="74" t="str">
        <f aca="false">G24&amp;" ("&amp;F24&amp;")"</f>
        <v>Diffuse (L)</v>
      </c>
      <c r="I24" s="29"/>
    </row>
    <row r="25" customFormat="false" ht="17.4" hidden="false" customHeight="true" outlineLevel="0" collapsed="false">
      <c r="A25" s="29"/>
      <c r="B25" s="77" t="s">
        <v>131</v>
      </c>
      <c r="C25" s="77"/>
      <c r="D25" s="77"/>
      <c r="E25" s="29"/>
      <c r="F25" s="73" t="s">
        <v>121</v>
      </c>
      <c r="G25" s="74" t="s">
        <v>132</v>
      </c>
      <c r="H25" s="74" t="str">
        <f aca="false">G25&amp;" ("&amp;F25&amp;")"</f>
        <v>Concentrated (H)</v>
      </c>
      <c r="I25" s="29"/>
    </row>
    <row r="26" customFormat="false" ht="17.4" hidden="false" customHeight="true" outlineLevel="0" collapsed="false">
      <c r="A26" s="29"/>
      <c r="B26" s="72" t="s">
        <v>103</v>
      </c>
      <c r="C26" s="72" t="s">
        <v>104</v>
      </c>
      <c r="D26" s="72" t="s">
        <v>105</v>
      </c>
      <c r="E26" s="29"/>
      <c r="F26" s="29"/>
      <c r="G26" s="29"/>
      <c r="H26" s="29"/>
      <c r="I26" s="29"/>
    </row>
    <row r="27" customFormat="false" ht="17.4" hidden="false" customHeight="true" outlineLevel="0" collapsed="false">
      <c r="A27" s="29"/>
      <c r="B27" s="73" t="s">
        <v>106</v>
      </c>
      <c r="C27" s="74" t="s">
        <v>39</v>
      </c>
      <c r="D27" s="74" t="str">
        <f aca="false">C27&amp;" ("&amp;B27&amp;")"</f>
        <v>None (N)</v>
      </c>
      <c r="E27" s="29"/>
      <c r="F27" s="71" t="s">
        <v>133</v>
      </c>
      <c r="G27" s="71"/>
      <c r="H27" s="71"/>
      <c r="I27" s="29"/>
    </row>
    <row r="28" customFormat="false" ht="17.4" hidden="false" customHeight="true" outlineLevel="0" collapsed="false">
      <c r="A28" s="29"/>
      <c r="B28" s="75" t="s">
        <v>117</v>
      </c>
      <c r="C28" s="76" t="s">
        <v>134</v>
      </c>
      <c r="D28" s="74" t="str">
        <f aca="false">C28&amp;" ("&amp;B28&amp;")"</f>
        <v>Passive (P)</v>
      </c>
      <c r="E28" s="29"/>
      <c r="F28" s="72" t="s">
        <v>103</v>
      </c>
      <c r="G28" s="72" t="s">
        <v>104</v>
      </c>
      <c r="H28" s="72" t="s">
        <v>105</v>
      </c>
      <c r="I28" s="29"/>
    </row>
    <row r="29" customFormat="false" ht="17.4" hidden="false" customHeight="true" outlineLevel="0" collapsed="false">
      <c r="A29" s="29"/>
      <c r="B29" s="73" t="s">
        <v>112</v>
      </c>
      <c r="C29" s="74" t="s">
        <v>135</v>
      </c>
      <c r="D29" s="74" t="str">
        <f aca="false">C29&amp;" ("&amp;B29&amp;")"</f>
        <v>Active (A)</v>
      </c>
      <c r="E29" s="29"/>
      <c r="F29" s="73" t="s">
        <v>108</v>
      </c>
      <c r="G29" s="74" t="s">
        <v>109</v>
      </c>
      <c r="H29" s="74" t="str">
        <f aca="false">G29&amp;" ("&amp;F29&amp;")"</f>
        <v>Not Defined (X)</v>
      </c>
      <c r="I29" s="29"/>
    </row>
    <row r="30" customFormat="false" ht="17.4" hidden="false" customHeight="true" outlineLevel="0" collapsed="false">
      <c r="A30" s="29"/>
      <c r="B30" s="29"/>
      <c r="C30" s="29"/>
      <c r="D30" s="29"/>
      <c r="E30" s="29"/>
      <c r="F30" s="73" t="s">
        <v>115</v>
      </c>
      <c r="G30" s="74" t="s">
        <v>38</v>
      </c>
      <c r="H30" s="74" t="str">
        <f aca="false">G30&amp;" ("&amp;F30&amp;")"</f>
        <v>Low (L)</v>
      </c>
      <c r="I30" s="29"/>
    </row>
    <row r="31" customFormat="false" ht="17.4" hidden="false" customHeight="true" outlineLevel="0" collapsed="false">
      <c r="A31" s="29"/>
      <c r="B31" s="77" t="s">
        <v>136</v>
      </c>
      <c r="C31" s="77"/>
      <c r="D31" s="77"/>
      <c r="E31" s="29"/>
      <c r="F31" s="75" t="s">
        <v>137</v>
      </c>
      <c r="G31" s="76" t="s">
        <v>37</v>
      </c>
      <c r="H31" s="74" t="str">
        <f aca="false">G31&amp;" ("&amp;F31&amp;")"</f>
        <v>Medium (M)</v>
      </c>
      <c r="I31" s="29"/>
    </row>
    <row r="32" customFormat="false" ht="17.4" hidden="false" customHeight="true" outlineLevel="0" collapsed="false">
      <c r="A32" s="29"/>
      <c r="B32" s="72" t="s">
        <v>103</v>
      </c>
      <c r="C32" s="72" t="s">
        <v>104</v>
      </c>
      <c r="D32" s="72" t="s">
        <v>105</v>
      </c>
      <c r="E32" s="29"/>
      <c r="F32" s="73" t="s">
        <v>121</v>
      </c>
      <c r="G32" s="74" t="s">
        <v>35</v>
      </c>
      <c r="H32" s="74" t="str">
        <f aca="false">G32&amp;" ("&amp;F32&amp;")"</f>
        <v>High (H)</v>
      </c>
      <c r="I32" s="29"/>
    </row>
    <row r="33" customFormat="false" ht="17.4" hidden="false" customHeight="true" outlineLevel="0" collapsed="false">
      <c r="A33" s="29"/>
      <c r="B33" s="73" t="s">
        <v>121</v>
      </c>
      <c r="C33" s="74" t="s">
        <v>35</v>
      </c>
      <c r="D33" s="74" t="str">
        <f aca="false">C33&amp;" ("&amp;B33&amp;")"</f>
        <v>High (H)</v>
      </c>
      <c r="E33" s="29"/>
      <c r="F33" s="29"/>
      <c r="G33" s="29"/>
      <c r="H33" s="29"/>
      <c r="I33" s="29"/>
    </row>
    <row r="34" customFormat="false" ht="17.4" hidden="false" customHeight="true" outlineLevel="0" collapsed="false">
      <c r="A34" s="29"/>
      <c r="B34" s="75" t="s">
        <v>115</v>
      </c>
      <c r="C34" s="76" t="s">
        <v>38</v>
      </c>
      <c r="D34" s="74" t="str">
        <f aca="false">C34&amp;" ("&amp;B34&amp;")"</f>
        <v>Low (L)</v>
      </c>
      <c r="E34" s="29"/>
      <c r="F34" s="71" t="s">
        <v>138</v>
      </c>
      <c r="G34" s="71"/>
      <c r="H34" s="71"/>
      <c r="I34" s="29"/>
    </row>
    <row r="35" customFormat="false" ht="17.4" hidden="false" customHeight="true" outlineLevel="0" collapsed="false">
      <c r="A35" s="29"/>
      <c r="B35" s="73" t="s">
        <v>106</v>
      </c>
      <c r="C35" s="74" t="s">
        <v>39</v>
      </c>
      <c r="D35" s="74" t="str">
        <f aca="false">C35&amp;" ("&amp;B35&amp;")"</f>
        <v>None (N)</v>
      </c>
      <c r="E35" s="29"/>
      <c r="F35" s="72" t="s">
        <v>103</v>
      </c>
      <c r="G35" s="72" t="s">
        <v>104</v>
      </c>
      <c r="H35" s="72" t="s">
        <v>105</v>
      </c>
      <c r="I35" s="29"/>
    </row>
    <row r="36" customFormat="false" ht="17.4" hidden="false" customHeight="true" outlineLevel="0" collapsed="false">
      <c r="A36" s="29"/>
      <c r="B36" s="29"/>
      <c r="C36" s="29"/>
      <c r="D36" s="29"/>
      <c r="E36" s="29"/>
      <c r="F36" s="73" t="s">
        <v>108</v>
      </c>
      <c r="G36" s="74" t="s">
        <v>109</v>
      </c>
      <c r="H36" s="74" t="str">
        <f aca="false">G36&amp;" ("&amp;F36&amp;")"</f>
        <v>Not Defined (X)</v>
      </c>
      <c r="I36" s="29"/>
    </row>
    <row r="37" customFormat="false" ht="17.4" hidden="false" customHeight="true" outlineLevel="0" collapsed="false">
      <c r="A37" s="29"/>
      <c r="B37" s="77" t="s">
        <v>139</v>
      </c>
      <c r="C37" s="77"/>
      <c r="D37" s="77"/>
      <c r="E37" s="29"/>
      <c r="F37" s="75" t="s">
        <v>140</v>
      </c>
      <c r="G37" s="76" t="s">
        <v>141</v>
      </c>
      <c r="H37" s="74" t="str">
        <f aca="false">G37&amp;" ("&amp;F37&amp;")"</f>
        <v>Low / None (Clear)</v>
      </c>
      <c r="I37" s="29"/>
    </row>
    <row r="38" customFormat="false" ht="17.4" hidden="false" customHeight="true" outlineLevel="0" collapsed="false">
      <c r="A38" s="29"/>
      <c r="B38" s="72" t="s">
        <v>103</v>
      </c>
      <c r="C38" s="72" t="s">
        <v>104</v>
      </c>
      <c r="D38" s="72" t="s">
        <v>105</v>
      </c>
      <c r="E38" s="29"/>
      <c r="F38" s="73" t="s">
        <v>142</v>
      </c>
      <c r="G38" s="74" t="s">
        <v>143</v>
      </c>
      <c r="H38" s="74" t="str">
        <f aca="false">G38&amp;" ("&amp;F38&amp;")"</f>
        <v>Moderate Urgency (Green)</v>
      </c>
      <c r="I38" s="29"/>
    </row>
    <row r="39" customFormat="false" ht="17.4" hidden="false" customHeight="true" outlineLevel="0" collapsed="false">
      <c r="A39" s="29"/>
      <c r="B39" s="73" t="s">
        <v>121</v>
      </c>
      <c r="C39" s="74" t="s">
        <v>35</v>
      </c>
      <c r="D39" s="74" t="str">
        <f aca="false">C39&amp;" ("&amp;B39&amp;")"</f>
        <v>High (H)</v>
      </c>
      <c r="E39" s="29"/>
      <c r="F39" s="73" t="s">
        <v>144</v>
      </c>
      <c r="G39" s="74" t="s">
        <v>145</v>
      </c>
      <c r="H39" s="74" t="str">
        <f aca="false">G39&amp;" ("&amp;F39&amp;")"</f>
        <v>High Urgency (Amber)</v>
      </c>
      <c r="I39" s="29"/>
    </row>
    <row r="40" customFormat="false" ht="17.4" hidden="false" customHeight="true" outlineLevel="0" collapsed="false">
      <c r="A40" s="29"/>
      <c r="B40" s="75" t="s">
        <v>115</v>
      </c>
      <c r="C40" s="76" t="s">
        <v>38</v>
      </c>
      <c r="D40" s="74" t="str">
        <f aca="false">C40&amp;" ("&amp;B40&amp;")"</f>
        <v>Low (L)</v>
      </c>
      <c r="E40" s="29"/>
      <c r="F40" s="75" t="s">
        <v>146</v>
      </c>
      <c r="G40" s="76" t="s">
        <v>147</v>
      </c>
      <c r="H40" s="74" t="str">
        <f aca="false">G40&amp;" ("&amp;F40&amp;")"</f>
        <v>Critical  / Immediate (Red)</v>
      </c>
      <c r="I40" s="29"/>
    </row>
    <row r="41" customFormat="false" ht="17.4" hidden="false" customHeight="true" outlineLevel="0" collapsed="false">
      <c r="A41" s="29"/>
      <c r="B41" s="73" t="s">
        <v>106</v>
      </c>
      <c r="C41" s="74" t="s">
        <v>39</v>
      </c>
      <c r="D41" s="74" t="str">
        <f aca="false">C41&amp;" ("&amp;B41&amp;")"</f>
        <v>None (N)</v>
      </c>
      <c r="E41" s="29"/>
      <c r="F41" s="29"/>
      <c r="G41" s="29"/>
      <c r="H41" s="29"/>
      <c r="I41" s="29"/>
    </row>
    <row r="42" customFormat="false" ht="17.4" hidden="false" customHeight="true" outlineLevel="0" collapsed="false">
      <c r="A42" s="29"/>
      <c r="B42" s="29"/>
      <c r="C42" s="29"/>
      <c r="D42" s="29"/>
      <c r="E42" s="29"/>
      <c r="F42" s="29"/>
      <c r="G42" s="29"/>
      <c r="H42" s="29"/>
      <c r="I42" s="29"/>
    </row>
    <row r="43" customFormat="false" ht="17.4" hidden="false" customHeight="true" outlineLevel="0" collapsed="false">
      <c r="A43" s="29"/>
      <c r="B43" s="77" t="s">
        <v>148</v>
      </c>
      <c r="C43" s="77"/>
      <c r="D43" s="77"/>
      <c r="E43" s="29"/>
      <c r="F43" s="29"/>
      <c r="G43" s="29"/>
      <c r="H43" s="29"/>
      <c r="I43" s="29"/>
    </row>
    <row r="44" customFormat="false" ht="17.4" hidden="false" customHeight="true" outlineLevel="0" collapsed="false">
      <c r="A44" s="29"/>
      <c r="B44" s="72" t="s">
        <v>103</v>
      </c>
      <c r="C44" s="72" t="s">
        <v>104</v>
      </c>
      <c r="D44" s="72" t="s">
        <v>105</v>
      </c>
      <c r="E44" s="29"/>
      <c r="F44" s="29"/>
      <c r="G44" s="29"/>
      <c r="H44" s="29"/>
      <c r="I44" s="29"/>
    </row>
    <row r="45" customFormat="false" ht="17.4" hidden="false" customHeight="true" outlineLevel="0" collapsed="false">
      <c r="A45" s="29"/>
      <c r="B45" s="73" t="s">
        <v>121</v>
      </c>
      <c r="C45" s="74" t="s">
        <v>35</v>
      </c>
      <c r="D45" s="74" t="str">
        <f aca="false">C45&amp;" ("&amp;B45&amp;")"</f>
        <v>High (H)</v>
      </c>
      <c r="E45" s="29"/>
      <c r="F45" s="29"/>
      <c r="G45" s="29"/>
      <c r="H45" s="29"/>
      <c r="I45" s="29"/>
    </row>
    <row r="46" customFormat="false" ht="17.4" hidden="false" customHeight="true" outlineLevel="0" collapsed="false">
      <c r="A46" s="29"/>
      <c r="B46" s="75" t="s">
        <v>115</v>
      </c>
      <c r="C46" s="76" t="s">
        <v>38</v>
      </c>
      <c r="D46" s="74" t="str">
        <f aca="false">C46&amp;" ("&amp;B46&amp;")"</f>
        <v>Low (L)</v>
      </c>
      <c r="E46" s="29"/>
      <c r="F46" s="29"/>
      <c r="G46" s="29"/>
      <c r="H46" s="29"/>
      <c r="I46" s="29"/>
    </row>
    <row r="47" customFormat="false" ht="17.4" hidden="false" customHeight="true" outlineLevel="0" collapsed="false">
      <c r="A47" s="29"/>
      <c r="B47" s="73" t="s">
        <v>106</v>
      </c>
      <c r="C47" s="74" t="s">
        <v>39</v>
      </c>
      <c r="D47" s="74" t="str">
        <f aca="false">C47&amp;" ("&amp;B47&amp;")"</f>
        <v>None (N)</v>
      </c>
      <c r="E47" s="29"/>
      <c r="F47" s="29"/>
      <c r="G47" s="29"/>
      <c r="H47" s="29"/>
      <c r="I47" s="29"/>
    </row>
    <row r="48" customFormat="false" ht="17.4" hidden="false" customHeight="true" outlineLevel="0" collapsed="false">
      <c r="A48" s="29"/>
      <c r="B48" s="29"/>
      <c r="C48" s="29"/>
      <c r="D48" s="29"/>
      <c r="E48" s="29"/>
      <c r="F48" s="29"/>
      <c r="G48" s="29"/>
      <c r="H48" s="29"/>
      <c r="I48" s="29"/>
    </row>
    <row r="49" customFormat="false" ht="17.4" hidden="false" customHeight="true" outlineLevel="0" collapsed="false">
      <c r="A49" s="29"/>
      <c r="B49" s="77" t="s">
        <v>149</v>
      </c>
      <c r="C49" s="77"/>
      <c r="D49" s="77"/>
      <c r="E49" s="29"/>
      <c r="F49" s="29"/>
      <c r="G49" s="29"/>
      <c r="H49" s="29"/>
      <c r="I49" s="29"/>
    </row>
    <row r="50" customFormat="false" ht="17.4" hidden="false" customHeight="true" outlineLevel="0" collapsed="false">
      <c r="A50" s="29"/>
      <c r="B50" s="72" t="s">
        <v>103</v>
      </c>
      <c r="C50" s="72" t="s">
        <v>104</v>
      </c>
      <c r="D50" s="72" t="s">
        <v>105</v>
      </c>
      <c r="E50" s="29"/>
      <c r="F50" s="29"/>
      <c r="G50" s="29"/>
      <c r="H50" s="29"/>
      <c r="I50" s="29"/>
    </row>
    <row r="51" customFormat="false" ht="17.4" hidden="false" customHeight="true" outlineLevel="0" collapsed="false">
      <c r="A51" s="29"/>
      <c r="B51" s="73" t="s">
        <v>121</v>
      </c>
      <c r="C51" s="74" t="s">
        <v>35</v>
      </c>
      <c r="D51" s="74" t="str">
        <f aca="false">C51&amp;" ("&amp;B51&amp;")"</f>
        <v>High (H)</v>
      </c>
      <c r="E51" s="29"/>
      <c r="F51" s="29"/>
      <c r="G51" s="29"/>
      <c r="H51" s="29"/>
      <c r="I51" s="29"/>
    </row>
    <row r="52" customFormat="false" ht="17.4" hidden="false" customHeight="true" outlineLevel="0" collapsed="false">
      <c r="A52" s="29"/>
      <c r="B52" s="75" t="s">
        <v>115</v>
      </c>
      <c r="C52" s="76" t="s">
        <v>38</v>
      </c>
      <c r="D52" s="74" t="str">
        <f aca="false">C52&amp;" ("&amp;B52&amp;")"</f>
        <v>Low (L)</v>
      </c>
      <c r="E52" s="29"/>
      <c r="F52" s="29"/>
      <c r="G52" s="29"/>
      <c r="H52" s="29"/>
      <c r="I52" s="29"/>
    </row>
    <row r="53" customFormat="false" ht="17.4" hidden="false" customHeight="true" outlineLevel="0" collapsed="false">
      <c r="A53" s="29"/>
      <c r="B53" s="73" t="s">
        <v>106</v>
      </c>
      <c r="C53" s="74" t="s">
        <v>39</v>
      </c>
      <c r="D53" s="74" t="str">
        <f aca="false">C53&amp;" ("&amp;B53&amp;")"</f>
        <v>None (N)</v>
      </c>
      <c r="E53" s="29"/>
      <c r="F53" s="29"/>
      <c r="G53" s="29"/>
      <c r="H53" s="29"/>
      <c r="I53" s="29"/>
    </row>
    <row r="54" customFormat="false" ht="17.4" hidden="false" customHeight="true" outlineLevel="0" collapsed="false">
      <c r="A54" s="29"/>
      <c r="B54" s="29"/>
      <c r="C54" s="29"/>
      <c r="D54" s="29"/>
      <c r="E54" s="29"/>
      <c r="F54" s="29"/>
      <c r="G54" s="29"/>
      <c r="H54" s="29"/>
      <c r="I54" s="29"/>
    </row>
    <row r="55" customFormat="false" ht="17.4" hidden="false" customHeight="true" outlineLevel="0" collapsed="false">
      <c r="A55" s="29"/>
      <c r="B55" s="77" t="s">
        <v>150</v>
      </c>
      <c r="C55" s="77"/>
      <c r="D55" s="77"/>
      <c r="E55" s="29"/>
      <c r="F55" s="29"/>
      <c r="G55" s="29"/>
      <c r="H55" s="29"/>
      <c r="I55" s="29"/>
    </row>
    <row r="56" customFormat="false" ht="17.4" hidden="false" customHeight="true" outlineLevel="0" collapsed="false">
      <c r="A56" s="29"/>
      <c r="B56" s="72" t="s">
        <v>103</v>
      </c>
      <c r="C56" s="72" t="s">
        <v>104</v>
      </c>
      <c r="D56" s="72" t="s">
        <v>105</v>
      </c>
      <c r="E56" s="29"/>
      <c r="F56" s="29"/>
      <c r="G56" s="29"/>
      <c r="H56" s="29"/>
      <c r="I56" s="29"/>
    </row>
    <row r="57" customFormat="false" ht="17.4" hidden="false" customHeight="true" outlineLevel="0" collapsed="false">
      <c r="A57" s="29"/>
      <c r="B57" s="73" t="s">
        <v>121</v>
      </c>
      <c r="C57" s="74" t="s">
        <v>35</v>
      </c>
      <c r="D57" s="74" t="str">
        <f aca="false">C57&amp;" ("&amp;B57&amp;")"</f>
        <v>High (H)</v>
      </c>
      <c r="E57" s="29"/>
      <c r="F57" s="29"/>
      <c r="G57" s="29"/>
      <c r="H57" s="29"/>
      <c r="I57" s="29"/>
    </row>
    <row r="58" customFormat="false" ht="17.4" hidden="false" customHeight="true" outlineLevel="0" collapsed="false">
      <c r="A58" s="29"/>
      <c r="B58" s="75" t="s">
        <v>115</v>
      </c>
      <c r="C58" s="76" t="s">
        <v>38</v>
      </c>
      <c r="D58" s="74" t="str">
        <f aca="false">C58&amp;" ("&amp;B58&amp;")"</f>
        <v>Low (L)</v>
      </c>
      <c r="E58" s="29"/>
      <c r="F58" s="29"/>
      <c r="G58" s="29"/>
      <c r="H58" s="29"/>
      <c r="I58" s="29"/>
    </row>
    <row r="59" customFormat="false" ht="17.4" hidden="false" customHeight="true" outlineLevel="0" collapsed="false">
      <c r="A59" s="29"/>
      <c r="B59" s="73" t="s">
        <v>106</v>
      </c>
      <c r="C59" s="74" t="s">
        <v>39</v>
      </c>
      <c r="D59" s="74" t="str">
        <f aca="false">C59&amp;" ("&amp;B59&amp;")"</f>
        <v>None (N)</v>
      </c>
      <c r="E59" s="29"/>
      <c r="F59" s="29"/>
      <c r="G59" s="29"/>
      <c r="H59" s="29"/>
      <c r="I59" s="29"/>
    </row>
    <row r="60" customFormat="false" ht="17.4" hidden="false" customHeight="true" outlineLevel="0" collapsed="false">
      <c r="A60" s="29"/>
      <c r="B60" s="29"/>
      <c r="C60" s="29"/>
      <c r="D60" s="29"/>
      <c r="E60" s="29"/>
      <c r="F60" s="29"/>
      <c r="G60" s="29"/>
      <c r="H60" s="29"/>
      <c r="I60" s="29"/>
    </row>
    <row r="61" customFormat="false" ht="17.4" hidden="false" customHeight="true" outlineLevel="0" collapsed="false">
      <c r="A61" s="29"/>
      <c r="B61" s="77" t="s">
        <v>151</v>
      </c>
      <c r="C61" s="77"/>
      <c r="D61" s="77"/>
      <c r="E61" s="29"/>
      <c r="F61" s="29"/>
      <c r="G61" s="29"/>
      <c r="H61" s="29"/>
      <c r="I61" s="29"/>
    </row>
    <row r="62" customFormat="false" ht="17.4" hidden="false" customHeight="true" outlineLevel="0" collapsed="false">
      <c r="A62" s="29"/>
      <c r="B62" s="72" t="s">
        <v>103</v>
      </c>
      <c r="C62" s="72" t="s">
        <v>104</v>
      </c>
      <c r="D62" s="72" t="s">
        <v>105</v>
      </c>
      <c r="E62" s="29"/>
      <c r="F62" s="29"/>
      <c r="G62" s="29"/>
      <c r="H62" s="29"/>
      <c r="I62" s="29"/>
    </row>
    <row r="63" customFormat="false" ht="17.4" hidden="false" customHeight="true" outlineLevel="0" collapsed="false">
      <c r="A63" s="29"/>
      <c r="B63" s="73" t="s">
        <v>121</v>
      </c>
      <c r="C63" s="74" t="s">
        <v>35</v>
      </c>
      <c r="D63" s="74" t="str">
        <f aca="false">C63&amp;" ("&amp;B63&amp;")"</f>
        <v>High (H)</v>
      </c>
      <c r="E63" s="29"/>
      <c r="F63" s="29"/>
      <c r="G63" s="29"/>
      <c r="H63" s="29"/>
      <c r="I63" s="29"/>
    </row>
    <row r="64" customFormat="false" ht="17.4" hidden="false" customHeight="true" outlineLevel="0" collapsed="false">
      <c r="A64" s="29"/>
      <c r="B64" s="75" t="s">
        <v>115</v>
      </c>
      <c r="C64" s="76" t="s">
        <v>38</v>
      </c>
      <c r="D64" s="74" t="str">
        <f aca="false">C64&amp;" ("&amp;B64&amp;")"</f>
        <v>Low (L)</v>
      </c>
      <c r="E64" s="29"/>
      <c r="F64" s="29"/>
      <c r="G64" s="29"/>
      <c r="H64" s="29"/>
      <c r="I64" s="29"/>
    </row>
    <row r="65" customFormat="false" ht="17.4" hidden="false" customHeight="true" outlineLevel="0" collapsed="false">
      <c r="A65" s="29"/>
      <c r="B65" s="73" t="s">
        <v>106</v>
      </c>
      <c r="C65" s="74" t="s">
        <v>39</v>
      </c>
      <c r="D65" s="74" t="str">
        <f aca="false">C65&amp;" ("&amp;B65&amp;")"</f>
        <v>None (N)</v>
      </c>
      <c r="E65" s="29"/>
      <c r="F65" s="29"/>
      <c r="G65" s="29"/>
      <c r="H65" s="29"/>
      <c r="I65" s="29"/>
    </row>
    <row r="66" customFormat="false" ht="17.4" hidden="false" customHeight="true" outlineLevel="0" collapsed="false">
      <c r="A66" s="29"/>
      <c r="B66" s="29"/>
      <c r="C66" s="29"/>
      <c r="D66" s="29"/>
      <c r="E66" s="29"/>
      <c r="F66" s="29"/>
      <c r="G66" s="29"/>
      <c r="H66" s="29"/>
      <c r="I66" s="29"/>
    </row>
    <row r="67" customFormat="false" ht="17.4" hidden="false" customHeight="true" outlineLevel="0" collapsed="false">
      <c r="A67" s="29"/>
      <c r="B67" s="77" t="s">
        <v>67</v>
      </c>
      <c r="C67" s="77"/>
      <c r="D67" s="77"/>
      <c r="E67" s="29"/>
      <c r="F67" s="29"/>
      <c r="G67" s="29"/>
      <c r="H67" s="29"/>
      <c r="I67" s="29"/>
    </row>
    <row r="68" customFormat="false" ht="17.4" hidden="false" customHeight="true" outlineLevel="0" collapsed="false">
      <c r="A68" s="29"/>
      <c r="B68" s="72" t="s">
        <v>103</v>
      </c>
      <c r="C68" s="72" t="s">
        <v>104</v>
      </c>
      <c r="D68" s="72" t="s">
        <v>105</v>
      </c>
      <c r="E68" s="30"/>
      <c r="F68" s="29"/>
      <c r="G68" s="29"/>
      <c r="H68" s="29"/>
      <c r="I68" s="29"/>
    </row>
    <row r="69" customFormat="false" ht="17.4" hidden="false" customHeight="true" outlineLevel="0" collapsed="false">
      <c r="A69" s="29"/>
      <c r="B69" s="73" t="s">
        <v>108</v>
      </c>
      <c r="C69" s="74" t="s">
        <v>109</v>
      </c>
      <c r="D69" s="74" t="str">
        <f aca="false">C69&amp;" ("&amp;B69&amp;")"</f>
        <v>Not Defined (X)</v>
      </c>
      <c r="E69" s="78"/>
      <c r="F69" s="29"/>
      <c r="G69" s="29"/>
      <c r="H69" s="29"/>
      <c r="I69" s="29"/>
    </row>
    <row r="70" customFormat="false" ht="17.4" hidden="false" customHeight="true" outlineLevel="0" collapsed="false">
      <c r="A70" s="29"/>
      <c r="B70" s="75" t="s">
        <v>112</v>
      </c>
      <c r="C70" s="76" t="s">
        <v>152</v>
      </c>
      <c r="D70" s="74" t="str">
        <f aca="false">C70&amp;" ("&amp;B70&amp;")"</f>
        <v>Attacked (A)</v>
      </c>
      <c r="E70" s="79"/>
      <c r="F70" s="29"/>
      <c r="G70" s="29"/>
      <c r="H70" s="29"/>
      <c r="I70" s="29"/>
    </row>
    <row r="71" customFormat="false" ht="17.4" hidden="false" customHeight="true" outlineLevel="0" collapsed="false">
      <c r="A71" s="29"/>
      <c r="B71" s="73" t="s">
        <v>117</v>
      </c>
      <c r="C71" s="74" t="s">
        <v>153</v>
      </c>
      <c r="D71" s="74" t="str">
        <f aca="false">C71&amp;" ("&amp;B71&amp;")"</f>
        <v>Proof of Concept (P)</v>
      </c>
      <c r="E71" s="79"/>
      <c r="F71" s="29"/>
      <c r="G71" s="29"/>
      <c r="H71" s="29"/>
      <c r="I71" s="29"/>
    </row>
    <row r="72" customFormat="false" ht="17.4" hidden="false" customHeight="true" outlineLevel="0" collapsed="false">
      <c r="A72" s="29"/>
      <c r="B72" s="75" t="s">
        <v>124</v>
      </c>
      <c r="C72" s="76" t="s">
        <v>154</v>
      </c>
      <c r="D72" s="74" t="str">
        <f aca="false">C72&amp;" ("&amp;B72&amp;")"</f>
        <v>Unreported (U)</v>
      </c>
      <c r="E72" s="78"/>
      <c r="F72" s="29"/>
      <c r="G72" s="29"/>
      <c r="H72" s="29"/>
      <c r="I72" s="29"/>
    </row>
    <row r="73" customFormat="false" ht="17.4" hidden="false" customHeight="true" outlineLevel="0" collapsed="false">
      <c r="A73" s="29"/>
      <c r="B73" s="29"/>
      <c r="C73" s="29"/>
      <c r="D73" s="29"/>
      <c r="E73" s="29"/>
      <c r="F73" s="29"/>
      <c r="G73" s="29"/>
      <c r="H73" s="29"/>
      <c r="I73" s="29"/>
    </row>
    <row r="74" customFormat="false" ht="16.4" hidden="false" customHeight="true" outlineLevel="0" collapsed="false">
      <c r="B74" s="77" t="s">
        <v>155</v>
      </c>
      <c r="C74" s="77"/>
      <c r="D74" s="77"/>
    </row>
    <row r="75" customFormat="false" ht="17.4" hidden="false" customHeight="false" outlineLevel="0" collapsed="false">
      <c r="B75" s="72" t="s">
        <v>103</v>
      </c>
      <c r="C75" s="72" t="s">
        <v>104</v>
      </c>
      <c r="D75" s="72" t="s">
        <v>105</v>
      </c>
    </row>
    <row r="76" customFormat="false" ht="17.4" hidden="false" customHeight="false" outlineLevel="0" collapsed="false">
      <c r="B76" s="73" t="s">
        <v>156</v>
      </c>
      <c r="C76" s="74" t="s">
        <v>157</v>
      </c>
      <c r="D76" s="74" t="str">
        <f aca="false">C76&amp;" ("&amp;B76&amp;")"</f>
        <v>Safety (S)</v>
      </c>
    </row>
    <row r="77" customFormat="false" ht="17.4" hidden="false" customHeight="false" outlineLevel="0" collapsed="false">
      <c r="B77" s="73" t="s">
        <v>121</v>
      </c>
      <c r="C77" s="74" t="s">
        <v>35</v>
      </c>
      <c r="D77" s="74" t="str">
        <f aca="false">C77&amp;" ("&amp;B77&amp;")"</f>
        <v>High (H)</v>
      </c>
    </row>
    <row r="78" customFormat="false" ht="17.4" hidden="false" customHeight="false" outlineLevel="0" collapsed="false">
      <c r="B78" s="75" t="s">
        <v>115</v>
      </c>
      <c r="C78" s="76" t="s">
        <v>38</v>
      </c>
      <c r="D78" s="74" t="str">
        <f aca="false">C78&amp;" ("&amp;B78&amp;")"</f>
        <v>Low (L)</v>
      </c>
    </row>
    <row r="79" customFormat="false" ht="17.4" hidden="false" customHeight="false" outlineLevel="0" collapsed="false">
      <c r="B79" s="73" t="s">
        <v>106</v>
      </c>
      <c r="C79" s="74" t="s">
        <v>39</v>
      </c>
      <c r="D79" s="74" t="str">
        <f aca="false">C79&amp;" ("&amp;B79&amp;")"</f>
        <v>None (N)</v>
      </c>
    </row>
    <row r="80" customFormat="false" ht="17.4" hidden="false" customHeight="false" outlineLevel="0" collapsed="false">
      <c r="B80" s="29"/>
      <c r="C80" s="29"/>
      <c r="D80" s="29"/>
    </row>
    <row r="81" customFormat="false" ht="16.4" hidden="false" customHeight="true" outlineLevel="0" collapsed="false">
      <c r="B81" s="77" t="s">
        <v>158</v>
      </c>
      <c r="C81" s="77"/>
      <c r="D81" s="77"/>
    </row>
    <row r="82" customFormat="false" ht="17.4" hidden="false" customHeight="false" outlineLevel="0" collapsed="false">
      <c r="B82" s="72" t="s">
        <v>103</v>
      </c>
      <c r="C82" s="72" t="s">
        <v>104</v>
      </c>
      <c r="D82" s="72" t="s">
        <v>105</v>
      </c>
    </row>
    <row r="83" customFormat="false" ht="17.4" hidden="false" customHeight="false" outlineLevel="0" collapsed="false">
      <c r="B83" s="73" t="s">
        <v>156</v>
      </c>
      <c r="C83" s="74" t="s">
        <v>157</v>
      </c>
      <c r="D83" s="74" t="str">
        <f aca="false">C83&amp;" ("&amp;B83&amp;")"</f>
        <v>Safety (S)</v>
      </c>
    </row>
    <row r="84" customFormat="false" ht="17.4" hidden="false" customHeight="false" outlineLevel="0" collapsed="false">
      <c r="B84" s="73" t="s">
        <v>121</v>
      </c>
      <c r="C84" s="74" t="s">
        <v>35</v>
      </c>
      <c r="D84" s="74" t="str">
        <f aca="false">C84&amp;" ("&amp;B84&amp;")"</f>
        <v>High (H)</v>
      </c>
    </row>
    <row r="85" customFormat="false" ht="17.4" hidden="false" customHeight="false" outlineLevel="0" collapsed="false">
      <c r="B85" s="75" t="s">
        <v>115</v>
      </c>
      <c r="C85" s="76" t="s">
        <v>38</v>
      </c>
      <c r="D85" s="74" t="str">
        <f aca="false">C85&amp;" ("&amp;B85&amp;")"</f>
        <v>Low (L)</v>
      </c>
    </row>
    <row r="86" customFormat="false" ht="17.4" hidden="false" customHeight="false" outlineLevel="0" collapsed="false">
      <c r="B86" s="73" t="s">
        <v>106</v>
      </c>
      <c r="C86" s="74" t="s">
        <v>39</v>
      </c>
      <c r="D86" s="74" t="str">
        <f aca="false">C86&amp;" ("&amp;B86&amp;")"</f>
        <v>None (N)</v>
      </c>
    </row>
    <row r="87" customFormat="false" ht="17.4" hidden="false" customHeight="false" outlineLevel="0" collapsed="false">
      <c r="B87" s="29"/>
      <c r="C87" s="29"/>
      <c r="D87" s="29"/>
    </row>
  </sheetData>
  <mergeCells count="21">
    <mergeCell ref="B2:D2"/>
    <mergeCell ref="F2:H2"/>
    <mergeCell ref="J2:L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B2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7" width="14.19"/>
    <col collapsed="false" customWidth="true" hidden="false" outlineLevel="0" max="2" min="2" style="27" width="12.1"/>
  </cols>
  <sheetData>
    <row r="1" customFormat="false" ht="12.8" hidden="false" customHeight="false" outlineLevel="0" collapsed="false">
      <c r="A1" s="49" t="s">
        <v>52</v>
      </c>
      <c r="B1" s="49" t="s">
        <v>159</v>
      </c>
    </row>
    <row r="2" customFormat="false" ht="12.8" hidden="false" customHeight="false" outlineLevel="0" collapsed="false">
      <c r="A2" s="80" t="s">
        <v>160</v>
      </c>
      <c r="B2" s="27" t="n">
        <v>10</v>
      </c>
    </row>
    <row r="3" customFormat="false" ht="12.8" hidden="false" customHeight="false" outlineLevel="0" collapsed="false">
      <c r="A3" s="80" t="s">
        <v>161</v>
      </c>
      <c r="B3" s="27" t="n">
        <v>9.9</v>
      </c>
    </row>
    <row r="4" customFormat="false" ht="12.8" hidden="false" customHeight="false" outlineLevel="0" collapsed="false">
      <c r="A4" s="80" t="s">
        <v>162</v>
      </c>
      <c r="B4" s="27" t="n">
        <v>9.8</v>
      </c>
    </row>
    <row r="5" customFormat="false" ht="12.8" hidden="false" customHeight="false" outlineLevel="0" collapsed="false">
      <c r="A5" s="80" t="s">
        <v>163</v>
      </c>
      <c r="B5" s="27" t="n">
        <v>9.5</v>
      </c>
    </row>
    <row r="6" customFormat="false" ht="12.8" hidden="false" customHeight="false" outlineLevel="0" collapsed="false">
      <c r="A6" s="80" t="s">
        <v>164</v>
      </c>
      <c r="B6" s="27" t="n">
        <v>9.5</v>
      </c>
    </row>
    <row r="7" customFormat="false" ht="12.8" hidden="false" customHeight="false" outlineLevel="0" collapsed="false">
      <c r="A7" s="80" t="s">
        <v>165</v>
      </c>
      <c r="B7" s="27" t="n">
        <v>9.2</v>
      </c>
    </row>
    <row r="8" customFormat="false" ht="12.8" hidden="false" customHeight="false" outlineLevel="0" collapsed="false">
      <c r="A8" s="80" t="s">
        <v>166</v>
      </c>
      <c r="B8" s="27" t="n">
        <v>10</v>
      </c>
    </row>
    <row r="9" customFormat="false" ht="12.8" hidden="false" customHeight="false" outlineLevel="0" collapsed="false">
      <c r="A9" s="80" t="s">
        <v>167</v>
      </c>
      <c r="B9" s="27" t="n">
        <v>9.6</v>
      </c>
    </row>
    <row r="10" customFormat="false" ht="12.8" hidden="false" customHeight="false" outlineLevel="0" collapsed="false">
      <c r="A10" s="80" t="s">
        <v>168</v>
      </c>
      <c r="B10" s="27" t="n">
        <v>9.3</v>
      </c>
    </row>
    <row r="11" customFormat="false" ht="12.8" hidden="false" customHeight="false" outlineLevel="0" collapsed="false">
      <c r="A11" s="80" t="s">
        <v>169</v>
      </c>
      <c r="B11" s="27" t="n">
        <v>8.7</v>
      </c>
    </row>
    <row r="12" customFormat="false" ht="12.8" hidden="false" customHeight="false" outlineLevel="0" collapsed="false">
      <c r="A12" s="80" t="s">
        <v>170</v>
      </c>
      <c r="B12" s="27" t="n">
        <v>9.1</v>
      </c>
    </row>
    <row r="13" customFormat="false" ht="12.8" hidden="false" customHeight="false" outlineLevel="0" collapsed="false">
      <c r="A13" s="80" t="s">
        <v>171</v>
      </c>
      <c r="B13" s="27" t="n">
        <v>8.1</v>
      </c>
    </row>
    <row r="14" customFormat="false" ht="12.8" hidden="false" customHeight="false" outlineLevel="0" collapsed="false">
      <c r="A14" s="80" t="s">
        <v>172</v>
      </c>
      <c r="B14" s="27" t="n">
        <v>9.3</v>
      </c>
    </row>
    <row r="15" customFormat="false" ht="12.8" hidden="false" customHeight="false" outlineLevel="0" collapsed="false">
      <c r="A15" s="80" t="s">
        <v>173</v>
      </c>
      <c r="B15" s="27" t="n">
        <v>9</v>
      </c>
    </row>
    <row r="16" customFormat="false" ht="12.8" hidden="false" customHeight="false" outlineLevel="0" collapsed="false">
      <c r="A16" s="80" t="s">
        <v>174</v>
      </c>
      <c r="B16" s="27" t="n">
        <v>8.9</v>
      </c>
    </row>
    <row r="17" customFormat="false" ht="12.8" hidden="false" customHeight="false" outlineLevel="0" collapsed="false">
      <c r="A17" s="80" t="s">
        <v>175</v>
      </c>
      <c r="B17" s="27" t="n">
        <v>8</v>
      </c>
    </row>
    <row r="18" customFormat="false" ht="12.8" hidden="false" customHeight="false" outlineLevel="0" collapsed="false">
      <c r="A18" s="80" t="s">
        <v>176</v>
      </c>
      <c r="B18" s="27" t="n">
        <v>8.1</v>
      </c>
    </row>
    <row r="19" customFormat="false" ht="12.8" hidden="false" customHeight="false" outlineLevel="0" collapsed="false">
      <c r="A19" s="80" t="s">
        <v>177</v>
      </c>
      <c r="B19" s="27" t="n">
        <v>6.8</v>
      </c>
    </row>
    <row r="20" customFormat="false" ht="12.8" hidden="false" customHeight="false" outlineLevel="0" collapsed="false">
      <c r="A20" s="80" t="s">
        <v>178</v>
      </c>
      <c r="B20" s="27" t="n">
        <v>9.8</v>
      </c>
    </row>
    <row r="21" customFormat="false" ht="12.8" hidden="false" customHeight="false" outlineLevel="0" collapsed="false">
      <c r="A21" s="80" t="s">
        <v>179</v>
      </c>
      <c r="B21" s="27" t="n">
        <v>9.5</v>
      </c>
    </row>
    <row r="22" customFormat="false" ht="12.8" hidden="false" customHeight="false" outlineLevel="0" collapsed="false">
      <c r="A22" s="80" t="s">
        <v>180</v>
      </c>
      <c r="B22" s="27" t="n">
        <v>9.5</v>
      </c>
    </row>
    <row r="23" customFormat="false" ht="12.8" hidden="false" customHeight="false" outlineLevel="0" collapsed="false">
      <c r="A23" s="80" t="s">
        <v>181</v>
      </c>
      <c r="B23" s="27" t="n">
        <v>9.2</v>
      </c>
    </row>
    <row r="24" customFormat="false" ht="12.8" hidden="false" customHeight="false" outlineLevel="0" collapsed="false">
      <c r="A24" s="80" t="s">
        <v>182</v>
      </c>
      <c r="B24" s="27" t="n">
        <v>9</v>
      </c>
    </row>
    <row r="25" customFormat="false" ht="12.8" hidden="false" customHeight="false" outlineLevel="0" collapsed="false">
      <c r="A25" s="80" t="s">
        <v>183</v>
      </c>
      <c r="B25" s="27" t="n">
        <v>8.4</v>
      </c>
    </row>
    <row r="26" customFormat="false" ht="12.8" hidden="false" customHeight="false" outlineLevel="0" collapsed="false">
      <c r="A26" s="80" t="s">
        <v>184</v>
      </c>
      <c r="B26" s="27" t="n">
        <v>9.3</v>
      </c>
    </row>
    <row r="27" customFormat="false" ht="12.8" hidden="false" customHeight="false" outlineLevel="0" collapsed="false">
      <c r="A27" s="80" t="s">
        <v>185</v>
      </c>
      <c r="B27" s="27" t="n">
        <v>9.2</v>
      </c>
    </row>
    <row r="28" customFormat="false" ht="12.8" hidden="false" customHeight="false" outlineLevel="0" collapsed="false">
      <c r="A28" s="80" t="s">
        <v>186</v>
      </c>
      <c r="B28" s="27" t="n">
        <v>8.9</v>
      </c>
    </row>
    <row r="29" customFormat="false" ht="12.8" hidden="false" customHeight="false" outlineLevel="0" collapsed="false">
      <c r="A29" s="80" t="s">
        <v>187</v>
      </c>
      <c r="B29" s="27" t="n">
        <v>8.1</v>
      </c>
    </row>
    <row r="30" customFormat="false" ht="12.8" hidden="false" customHeight="false" outlineLevel="0" collapsed="false">
      <c r="A30" s="80" t="s">
        <v>188</v>
      </c>
      <c r="B30" s="27" t="n">
        <v>8.1</v>
      </c>
    </row>
    <row r="31" customFormat="false" ht="12.8" hidden="false" customHeight="false" outlineLevel="0" collapsed="false">
      <c r="A31" s="80" t="s">
        <v>189</v>
      </c>
      <c r="B31" s="27" t="n">
        <v>6.5</v>
      </c>
    </row>
    <row r="32" customFormat="false" ht="12.8" hidden="false" customHeight="false" outlineLevel="0" collapsed="false">
      <c r="A32" s="80" t="s">
        <v>190</v>
      </c>
      <c r="B32" s="27" t="n">
        <v>8.8</v>
      </c>
    </row>
    <row r="33" customFormat="false" ht="12.8" hidden="false" customHeight="false" outlineLevel="0" collapsed="false">
      <c r="A33" s="80" t="s">
        <v>191</v>
      </c>
      <c r="B33" s="27" t="n">
        <v>8</v>
      </c>
    </row>
    <row r="34" customFormat="false" ht="12.8" hidden="false" customHeight="false" outlineLevel="0" collapsed="false">
      <c r="A34" s="80" t="s">
        <v>192</v>
      </c>
      <c r="B34" s="27" t="n">
        <v>7.8</v>
      </c>
    </row>
    <row r="35" customFormat="false" ht="12.8" hidden="false" customHeight="false" outlineLevel="0" collapsed="false">
      <c r="A35" s="80" t="s">
        <v>193</v>
      </c>
      <c r="B35" s="27" t="n">
        <v>7</v>
      </c>
    </row>
    <row r="36" customFormat="false" ht="12.8" hidden="false" customHeight="false" outlineLevel="0" collapsed="false">
      <c r="A36" s="80" t="s">
        <v>194</v>
      </c>
      <c r="B36" s="27" t="n">
        <v>6.9</v>
      </c>
    </row>
    <row r="37" customFormat="false" ht="12.8" hidden="false" customHeight="false" outlineLevel="0" collapsed="false">
      <c r="A37" s="80" t="s">
        <v>195</v>
      </c>
      <c r="B37" s="27" t="n">
        <v>4.8</v>
      </c>
    </row>
    <row r="38" customFormat="false" ht="12.8" hidden="false" customHeight="false" outlineLevel="0" collapsed="false">
      <c r="A38" s="80" t="s">
        <v>196</v>
      </c>
      <c r="B38" s="27" t="n">
        <v>9.2</v>
      </c>
    </row>
    <row r="39" customFormat="false" ht="12.8" hidden="false" customHeight="false" outlineLevel="0" collapsed="false">
      <c r="A39" s="80" t="s">
        <v>197</v>
      </c>
      <c r="B39" s="27" t="n">
        <v>8.2</v>
      </c>
    </row>
    <row r="40" customFormat="false" ht="12.8" hidden="false" customHeight="false" outlineLevel="0" collapsed="false">
      <c r="A40" s="80" t="s">
        <v>198</v>
      </c>
      <c r="B40" s="27" t="n">
        <v>7.2</v>
      </c>
    </row>
    <row r="41" customFormat="false" ht="12.8" hidden="false" customHeight="false" outlineLevel="0" collapsed="false">
      <c r="A41" s="80" t="s">
        <v>199</v>
      </c>
      <c r="B41" s="27" t="n">
        <v>7.9</v>
      </c>
    </row>
    <row r="42" customFormat="false" ht="12.8" hidden="false" customHeight="false" outlineLevel="0" collapsed="false">
      <c r="A42" s="80" t="s">
        <v>200</v>
      </c>
      <c r="B42" s="27" t="n">
        <v>6.9</v>
      </c>
    </row>
    <row r="43" customFormat="false" ht="12.8" hidden="false" customHeight="false" outlineLevel="0" collapsed="false">
      <c r="A43" s="80" t="s">
        <v>201</v>
      </c>
      <c r="B43" s="27" t="n">
        <v>5</v>
      </c>
    </row>
    <row r="44" customFormat="false" ht="12.8" hidden="false" customHeight="false" outlineLevel="0" collapsed="false">
      <c r="A44" s="80" t="s">
        <v>202</v>
      </c>
      <c r="B44" s="27" t="n">
        <v>6.9</v>
      </c>
    </row>
    <row r="45" customFormat="false" ht="12.8" hidden="false" customHeight="false" outlineLevel="0" collapsed="false">
      <c r="A45" s="80" t="s">
        <v>203</v>
      </c>
      <c r="B45" s="27" t="n">
        <v>5.5</v>
      </c>
    </row>
    <row r="46" customFormat="false" ht="12.8" hidden="false" customHeight="false" outlineLevel="0" collapsed="false">
      <c r="A46" s="80" t="s">
        <v>204</v>
      </c>
      <c r="B46" s="27" t="n">
        <v>2.7</v>
      </c>
    </row>
    <row r="47" customFormat="false" ht="12.8" hidden="false" customHeight="false" outlineLevel="0" collapsed="false">
      <c r="A47" s="80" t="s">
        <v>205</v>
      </c>
      <c r="B47" s="27" t="n">
        <v>9.9</v>
      </c>
    </row>
    <row r="48" customFormat="false" ht="12.8" hidden="false" customHeight="false" outlineLevel="0" collapsed="false">
      <c r="A48" s="80" t="s">
        <v>206</v>
      </c>
      <c r="B48" s="27" t="n">
        <v>9.7</v>
      </c>
    </row>
    <row r="49" customFormat="false" ht="12.8" hidden="false" customHeight="false" outlineLevel="0" collapsed="false">
      <c r="A49" s="80" t="s">
        <v>207</v>
      </c>
      <c r="B49" s="27" t="n">
        <v>9.5</v>
      </c>
    </row>
    <row r="50" customFormat="false" ht="12.8" hidden="false" customHeight="false" outlineLevel="0" collapsed="false">
      <c r="A50" s="80" t="s">
        <v>208</v>
      </c>
      <c r="B50" s="27" t="n">
        <v>9.2</v>
      </c>
    </row>
    <row r="51" customFormat="false" ht="12.8" hidden="false" customHeight="false" outlineLevel="0" collapsed="false">
      <c r="A51" s="80" t="s">
        <v>209</v>
      </c>
      <c r="B51" s="27" t="n">
        <v>9.2</v>
      </c>
    </row>
    <row r="52" customFormat="false" ht="12.8" hidden="false" customHeight="false" outlineLevel="0" collapsed="false">
      <c r="A52" s="80" t="s">
        <v>210</v>
      </c>
      <c r="B52" s="27" t="n">
        <v>8.5</v>
      </c>
    </row>
    <row r="53" customFormat="false" ht="12.8" hidden="false" customHeight="false" outlineLevel="0" collapsed="false">
      <c r="A53" s="80" t="s">
        <v>211</v>
      </c>
      <c r="B53" s="27" t="n">
        <v>9.5</v>
      </c>
    </row>
    <row r="54" customFormat="false" ht="12.8" hidden="false" customHeight="false" outlineLevel="0" collapsed="false">
      <c r="A54" s="80" t="s">
        <v>212</v>
      </c>
      <c r="B54" s="27" t="n">
        <v>9.1</v>
      </c>
    </row>
    <row r="55" customFormat="false" ht="12.8" hidden="false" customHeight="false" outlineLevel="0" collapsed="false">
      <c r="A55" s="80" t="s">
        <v>213</v>
      </c>
      <c r="B55" s="27" t="n">
        <v>9</v>
      </c>
    </row>
    <row r="56" customFormat="false" ht="12.8" hidden="false" customHeight="false" outlineLevel="0" collapsed="false">
      <c r="A56" s="80" t="s">
        <v>214</v>
      </c>
      <c r="B56" s="27" t="n">
        <v>8.3</v>
      </c>
    </row>
    <row r="57" customFormat="false" ht="12.8" hidden="false" customHeight="false" outlineLevel="0" collapsed="false">
      <c r="A57" s="80" t="s">
        <v>215</v>
      </c>
      <c r="B57" s="27" t="n">
        <v>8.4</v>
      </c>
    </row>
    <row r="58" customFormat="false" ht="12.8" hidden="false" customHeight="false" outlineLevel="0" collapsed="false">
      <c r="A58" s="80" t="s">
        <v>216</v>
      </c>
      <c r="B58" s="27" t="n">
        <v>7.1</v>
      </c>
    </row>
    <row r="59" customFormat="false" ht="12.8" hidden="false" customHeight="false" outlineLevel="0" collapsed="false">
      <c r="A59" s="80" t="s">
        <v>217</v>
      </c>
      <c r="B59" s="27" t="n">
        <v>9.2</v>
      </c>
    </row>
    <row r="60" customFormat="false" ht="12.8" hidden="false" customHeight="false" outlineLevel="0" collapsed="false">
      <c r="A60" s="80" t="s">
        <v>218</v>
      </c>
      <c r="B60" s="27" t="n">
        <v>8.1</v>
      </c>
    </row>
    <row r="61" customFormat="false" ht="12.8" hidden="false" customHeight="false" outlineLevel="0" collapsed="false">
      <c r="A61" s="80" t="s">
        <v>219</v>
      </c>
      <c r="B61" s="27" t="n">
        <v>8.2</v>
      </c>
    </row>
    <row r="62" customFormat="false" ht="12.8" hidden="false" customHeight="false" outlineLevel="0" collapsed="false">
      <c r="A62" s="80" t="s">
        <v>220</v>
      </c>
      <c r="B62" s="27" t="n">
        <v>7.1</v>
      </c>
    </row>
    <row r="63" customFormat="false" ht="12.8" hidden="false" customHeight="false" outlineLevel="0" collapsed="false">
      <c r="A63" s="80" t="s">
        <v>221</v>
      </c>
      <c r="B63" s="27" t="n">
        <v>7.2</v>
      </c>
    </row>
    <row r="64" customFormat="false" ht="12.8" hidden="false" customHeight="false" outlineLevel="0" collapsed="false">
      <c r="A64" s="80" t="s">
        <v>222</v>
      </c>
      <c r="B64" s="27" t="n">
        <v>5.3</v>
      </c>
    </row>
    <row r="65" customFormat="false" ht="12.8" hidden="false" customHeight="false" outlineLevel="0" collapsed="false">
      <c r="A65" s="80" t="s">
        <v>223</v>
      </c>
      <c r="B65" s="27" t="n">
        <v>9.5</v>
      </c>
    </row>
    <row r="66" customFormat="false" ht="12.8" hidden="false" customHeight="false" outlineLevel="0" collapsed="false">
      <c r="A66" s="80" t="s">
        <v>224</v>
      </c>
      <c r="B66" s="27" t="n">
        <v>9.3</v>
      </c>
    </row>
    <row r="67" customFormat="false" ht="12.8" hidden="false" customHeight="false" outlineLevel="0" collapsed="false">
      <c r="A67" s="80" t="s">
        <v>225</v>
      </c>
      <c r="B67" s="27" t="n">
        <v>9.2</v>
      </c>
    </row>
    <row r="68" customFormat="false" ht="12.8" hidden="false" customHeight="false" outlineLevel="0" collapsed="false">
      <c r="A68" s="80" t="s">
        <v>226</v>
      </c>
      <c r="B68" s="27" t="n">
        <v>8.5</v>
      </c>
    </row>
    <row r="69" customFormat="false" ht="12.8" hidden="false" customHeight="false" outlineLevel="0" collapsed="false">
      <c r="A69" s="80" t="s">
        <v>227</v>
      </c>
      <c r="B69" s="27" t="n">
        <v>8.5</v>
      </c>
    </row>
    <row r="70" customFormat="false" ht="12.8" hidden="false" customHeight="false" outlineLevel="0" collapsed="false">
      <c r="A70" s="80" t="s">
        <v>228</v>
      </c>
      <c r="B70" s="27" t="n">
        <v>7.3</v>
      </c>
    </row>
    <row r="71" customFormat="false" ht="12.8" hidden="false" customHeight="false" outlineLevel="0" collapsed="false">
      <c r="A71" s="80" t="s">
        <v>229</v>
      </c>
      <c r="B71" s="27" t="n">
        <v>9.2</v>
      </c>
    </row>
    <row r="72" customFormat="false" ht="12.8" hidden="false" customHeight="false" outlineLevel="0" collapsed="false">
      <c r="A72" s="80" t="s">
        <v>230</v>
      </c>
      <c r="B72" s="27" t="n">
        <v>8.2</v>
      </c>
    </row>
    <row r="73" customFormat="false" ht="12.8" hidden="false" customHeight="false" outlineLevel="0" collapsed="false">
      <c r="A73" s="80" t="s">
        <v>231</v>
      </c>
      <c r="B73" s="27" t="n">
        <v>8</v>
      </c>
    </row>
    <row r="74" customFormat="false" ht="12.8" hidden="false" customHeight="false" outlineLevel="0" collapsed="false">
      <c r="A74" s="80" t="s">
        <v>232</v>
      </c>
      <c r="B74" s="27" t="n">
        <v>7.2</v>
      </c>
    </row>
    <row r="75" customFormat="false" ht="12.8" hidden="false" customHeight="false" outlineLevel="0" collapsed="false">
      <c r="A75" s="80" t="s">
        <v>233</v>
      </c>
      <c r="B75" s="27" t="n">
        <v>7</v>
      </c>
    </row>
    <row r="76" customFormat="false" ht="12.8" hidden="false" customHeight="false" outlineLevel="0" collapsed="false">
      <c r="A76" s="80" t="s">
        <v>234</v>
      </c>
      <c r="B76" s="27" t="n">
        <v>5.9</v>
      </c>
    </row>
    <row r="77" customFormat="false" ht="12.8" hidden="false" customHeight="false" outlineLevel="0" collapsed="false">
      <c r="A77" s="80" t="s">
        <v>235</v>
      </c>
      <c r="B77" s="27" t="n">
        <v>8.4</v>
      </c>
    </row>
    <row r="78" customFormat="false" ht="12.8" hidden="false" customHeight="false" outlineLevel="0" collapsed="false">
      <c r="A78" s="80" t="s">
        <v>236</v>
      </c>
      <c r="B78" s="27" t="n">
        <v>7</v>
      </c>
    </row>
    <row r="79" customFormat="false" ht="12.8" hidden="false" customHeight="false" outlineLevel="0" collapsed="false">
      <c r="A79" s="80" t="s">
        <v>237</v>
      </c>
      <c r="B79" s="27" t="n">
        <v>7.1</v>
      </c>
    </row>
    <row r="80" customFormat="false" ht="12.8" hidden="false" customHeight="false" outlineLevel="0" collapsed="false">
      <c r="A80" s="80" t="s">
        <v>238</v>
      </c>
      <c r="B80" s="27" t="n">
        <v>5.2</v>
      </c>
    </row>
    <row r="81" customFormat="false" ht="12.8" hidden="false" customHeight="false" outlineLevel="0" collapsed="false">
      <c r="A81" s="80" t="s">
        <v>239</v>
      </c>
      <c r="B81" s="27" t="n">
        <v>5</v>
      </c>
    </row>
    <row r="82" customFormat="false" ht="12.8" hidden="false" customHeight="false" outlineLevel="0" collapsed="false">
      <c r="A82" s="80" t="s">
        <v>240</v>
      </c>
      <c r="B82" s="27" t="n">
        <v>3</v>
      </c>
    </row>
    <row r="83" customFormat="false" ht="12.8" hidden="false" customHeight="false" outlineLevel="0" collapsed="false">
      <c r="A83" s="80" t="s">
        <v>241</v>
      </c>
      <c r="B83" s="27" t="n">
        <v>8.6</v>
      </c>
    </row>
    <row r="84" customFormat="false" ht="12.8" hidden="false" customHeight="false" outlineLevel="0" collapsed="false">
      <c r="A84" s="80" t="s">
        <v>242</v>
      </c>
      <c r="B84" s="27" t="n">
        <v>7.5</v>
      </c>
    </row>
    <row r="85" customFormat="false" ht="12.8" hidden="false" customHeight="false" outlineLevel="0" collapsed="false">
      <c r="A85" s="80" t="s">
        <v>243</v>
      </c>
      <c r="B85" s="27" t="n">
        <v>5.2</v>
      </c>
    </row>
    <row r="86" customFormat="false" ht="12.8" hidden="false" customHeight="false" outlineLevel="0" collapsed="false">
      <c r="A86" s="80" t="s">
        <v>244</v>
      </c>
      <c r="B86" s="27" t="n">
        <v>7.1</v>
      </c>
    </row>
    <row r="87" customFormat="false" ht="12.8" hidden="false" customHeight="false" outlineLevel="0" collapsed="false">
      <c r="A87" s="80" t="s">
        <v>245</v>
      </c>
      <c r="B87" s="27" t="n">
        <v>5.2</v>
      </c>
    </row>
    <row r="88" customFormat="false" ht="12.8" hidden="false" customHeight="false" outlineLevel="0" collapsed="false">
      <c r="A88" s="80" t="s">
        <v>246</v>
      </c>
      <c r="B88" s="27" t="n">
        <v>2.9</v>
      </c>
    </row>
    <row r="89" customFormat="false" ht="12.8" hidden="false" customHeight="false" outlineLevel="0" collapsed="false">
      <c r="A89" s="80" t="s">
        <v>247</v>
      </c>
      <c r="B89" s="27" t="n">
        <v>6.3</v>
      </c>
    </row>
    <row r="90" customFormat="false" ht="12.8" hidden="false" customHeight="false" outlineLevel="0" collapsed="false">
      <c r="A90" s="80" t="s">
        <v>248</v>
      </c>
      <c r="B90" s="27" t="n">
        <v>2.9</v>
      </c>
    </row>
    <row r="91" customFormat="false" ht="12.8" hidden="false" customHeight="false" outlineLevel="0" collapsed="false">
      <c r="A91" s="80" t="s">
        <v>249</v>
      </c>
      <c r="B91" s="27" t="n">
        <v>1.7</v>
      </c>
    </row>
    <row r="92" customFormat="false" ht="12.8" hidden="false" customHeight="false" outlineLevel="0" collapsed="false">
      <c r="A92" s="80" t="s">
        <v>250</v>
      </c>
      <c r="B92" s="27" t="n">
        <v>9.8</v>
      </c>
    </row>
    <row r="93" customFormat="false" ht="12.8" hidden="false" customHeight="false" outlineLevel="0" collapsed="false">
      <c r="A93" s="80" t="s">
        <v>251</v>
      </c>
      <c r="B93" s="27" t="n">
        <v>9.5</v>
      </c>
    </row>
    <row r="94" customFormat="false" ht="12.8" hidden="false" customHeight="false" outlineLevel="0" collapsed="false">
      <c r="A94" s="80" t="s">
        <v>252</v>
      </c>
      <c r="B94" s="27" t="n">
        <v>9.4</v>
      </c>
    </row>
    <row r="95" customFormat="false" ht="12.8" hidden="false" customHeight="false" outlineLevel="0" collapsed="false">
      <c r="A95" s="80" t="s">
        <v>253</v>
      </c>
      <c r="B95" s="27" t="n">
        <v>8.7</v>
      </c>
    </row>
    <row r="96" customFormat="false" ht="12.8" hidden="false" customHeight="false" outlineLevel="0" collapsed="false">
      <c r="A96" s="80" t="s">
        <v>254</v>
      </c>
      <c r="B96" s="27" t="n">
        <v>9.1</v>
      </c>
    </row>
    <row r="97" customFormat="false" ht="12.8" hidden="false" customHeight="false" outlineLevel="0" collapsed="false">
      <c r="A97" s="80" t="s">
        <v>255</v>
      </c>
      <c r="B97" s="27" t="n">
        <v>8.1</v>
      </c>
    </row>
    <row r="98" customFormat="false" ht="12.8" hidden="false" customHeight="false" outlineLevel="0" collapsed="false">
      <c r="A98" s="80" t="s">
        <v>256</v>
      </c>
      <c r="B98" s="27" t="n">
        <v>9.4</v>
      </c>
    </row>
    <row r="99" customFormat="false" ht="12.8" hidden="false" customHeight="false" outlineLevel="0" collapsed="false">
      <c r="A99" s="80" t="s">
        <v>257</v>
      </c>
      <c r="B99" s="27" t="n">
        <v>8.9</v>
      </c>
    </row>
    <row r="100" customFormat="false" ht="12.8" hidden="false" customHeight="false" outlineLevel="0" collapsed="false">
      <c r="A100" s="80" t="s">
        <v>258</v>
      </c>
      <c r="B100" s="27" t="n">
        <v>8.6</v>
      </c>
    </row>
    <row r="101" customFormat="false" ht="12.8" hidden="false" customHeight="false" outlineLevel="0" collapsed="false">
      <c r="A101" s="80" t="s">
        <v>259</v>
      </c>
      <c r="B101" s="27" t="n">
        <v>7.4</v>
      </c>
    </row>
    <row r="102" customFormat="false" ht="12.8" hidden="false" customHeight="false" outlineLevel="0" collapsed="false">
      <c r="A102" s="80" t="s">
        <v>260</v>
      </c>
      <c r="B102" s="27" t="n">
        <v>7.7</v>
      </c>
    </row>
    <row r="103" customFormat="false" ht="12.8" hidden="false" customHeight="false" outlineLevel="0" collapsed="false">
      <c r="A103" s="80" t="s">
        <v>261</v>
      </c>
      <c r="B103" s="27" t="n">
        <v>6.4</v>
      </c>
    </row>
    <row r="104" customFormat="false" ht="12.8" hidden="false" customHeight="false" outlineLevel="0" collapsed="false">
      <c r="A104" s="80" t="s">
        <v>262</v>
      </c>
      <c r="B104" s="27" t="n">
        <v>8.7</v>
      </c>
    </row>
    <row r="105" customFormat="false" ht="12.8" hidden="false" customHeight="false" outlineLevel="0" collapsed="false">
      <c r="A105" s="80" t="s">
        <v>263</v>
      </c>
      <c r="B105" s="27" t="n">
        <v>7.5</v>
      </c>
    </row>
    <row r="106" customFormat="false" ht="12.8" hidden="false" customHeight="false" outlineLevel="0" collapsed="false">
      <c r="A106" s="80" t="s">
        <v>264</v>
      </c>
      <c r="B106" s="27" t="n">
        <v>7.4</v>
      </c>
    </row>
    <row r="107" customFormat="false" ht="12.8" hidden="false" customHeight="false" outlineLevel="0" collapsed="false">
      <c r="A107" s="80" t="s">
        <v>265</v>
      </c>
      <c r="B107" s="27" t="n">
        <v>6.3</v>
      </c>
    </row>
    <row r="108" customFormat="false" ht="12.8" hidden="false" customHeight="false" outlineLevel="0" collapsed="false">
      <c r="A108" s="80" t="s">
        <v>266</v>
      </c>
      <c r="B108" s="27" t="n">
        <v>6.3</v>
      </c>
    </row>
    <row r="109" customFormat="false" ht="12.8" hidden="false" customHeight="false" outlineLevel="0" collapsed="false">
      <c r="A109" s="80" t="s">
        <v>267</v>
      </c>
      <c r="B109" s="27" t="n">
        <v>4.9</v>
      </c>
    </row>
    <row r="110" customFormat="false" ht="12.8" hidden="false" customHeight="false" outlineLevel="0" collapsed="false">
      <c r="A110" s="80" t="s">
        <v>268</v>
      </c>
      <c r="B110" s="27" t="n">
        <v>9.4</v>
      </c>
    </row>
    <row r="111" customFormat="false" ht="12.8" hidden="false" customHeight="false" outlineLevel="0" collapsed="false">
      <c r="A111" s="80" t="s">
        <v>269</v>
      </c>
      <c r="B111" s="27" t="n">
        <v>8.9</v>
      </c>
    </row>
    <row r="112" customFormat="false" ht="12.8" hidden="false" customHeight="false" outlineLevel="0" collapsed="false">
      <c r="A112" s="80" t="s">
        <v>270</v>
      </c>
      <c r="B112" s="27" t="n">
        <v>8.8</v>
      </c>
    </row>
    <row r="113" customFormat="false" ht="12.8" hidden="false" customHeight="false" outlineLevel="0" collapsed="false">
      <c r="A113" s="80" t="s">
        <v>271</v>
      </c>
      <c r="B113" s="27" t="n">
        <v>7.7</v>
      </c>
    </row>
    <row r="114" customFormat="false" ht="12.8" hidden="false" customHeight="false" outlineLevel="0" collapsed="false">
      <c r="A114" s="80" t="s">
        <v>272</v>
      </c>
      <c r="B114" s="27" t="n">
        <v>7.6</v>
      </c>
    </row>
    <row r="115" customFormat="false" ht="12.8" hidden="false" customHeight="false" outlineLevel="0" collapsed="false">
      <c r="A115" s="80" t="s">
        <v>273</v>
      </c>
      <c r="B115" s="27" t="n">
        <v>6.7</v>
      </c>
    </row>
    <row r="116" customFormat="false" ht="12.8" hidden="false" customHeight="false" outlineLevel="0" collapsed="false">
      <c r="A116" s="80" t="s">
        <v>274</v>
      </c>
      <c r="B116" s="27" t="n">
        <v>8.6</v>
      </c>
    </row>
    <row r="117" customFormat="false" ht="12.8" hidden="false" customHeight="false" outlineLevel="0" collapsed="false">
      <c r="A117" s="80" t="s">
        <v>275</v>
      </c>
      <c r="B117" s="27" t="n">
        <v>7.6</v>
      </c>
    </row>
    <row r="118" customFormat="false" ht="12.8" hidden="false" customHeight="false" outlineLevel="0" collapsed="false">
      <c r="A118" s="80" t="s">
        <v>276</v>
      </c>
      <c r="B118" s="27" t="n">
        <v>7.4</v>
      </c>
    </row>
    <row r="119" customFormat="false" ht="12.8" hidden="false" customHeight="false" outlineLevel="0" collapsed="false">
      <c r="A119" s="80" t="s">
        <v>277</v>
      </c>
      <c r="B119" s="27" t="n">
        <v>5.8</v>
      </c>
    </row>
    <row r="120" customFormat="false" ht="12.8" hidden="false" customHeight="false" outlineLevel="0" collapsed="false">
      <c r="A120" s="80" t="s">
        <v>278</v>
      </c>
      <c r="B120" s="27" t="n">
        <v>5.9</v>
      </c>
    </row>
    <row r="121" customFormat="false" ht="12.8" hidden="false" customHeight="false" outlineLevel="0" collapsed="false">
      <c r="A121" s="80" t="s">
        <v>279</v>
      </c>
      <c r="B121" s="27" t="n">
        <v>5</v>
      </c>
    </row>
    <row r="122" customFormat="false" ht="12.8" hidden="false" customHeight="false" outlineLevel="0" collapsed="false">
      <c r="A122" s="80" t="s">
        <v>280</v>
      </c>
      <c r="B122" s="27" t="n">
        <v>7.2</v>
      </c>
    </row>
    <row r="123" customFormat="false" ht="12.8" hidden="false" customHeight="false" outlineLevel="0" collapsed="false">
      <c r="A123" s="80" t="s">
        <v>281</v>
      </c>
      <c r="B123" s="27" t="n">
        <v>5.7</v>
      </c>
    </row>
    <row r="124" customFormat="false" ht="12.8" hidden="false" customHeight="false" outlineLevel="0" collapsed="false">
      <c r="A124" s="80" t="s">
        <v>282</v>
      </c>
      <c r="B124" s="27" t="n">
        <v>5.7</v>
      </c>
    </row>
    <row r="125" customFormat="false" ht="12.8" hidden="false" customHeight="false" outlineLevel="0" collapsed="false">
      <c r="A125" s="80" t="s">
        <v>283</v>
      </c>
      <c r="B125" s="27" t="n">
        <v>5.2</v>
      </c>
    </row>
    <row r="126" customFormat="false" ht="12.8" hidden="false" customHeight="false" outlineLevel="0" collapsed="false">
      <c r="A126" s="80" t="s">
        <v>284</v>
      </c>
      <c r="B126" s="27" t="n">
        <v>5.2</v>
      </c>
    </row>
    <row r="127" customFormat="false" ht="12.8" hidden="false" customHeight="false" outlineLevel="0" collapsed="false">
      <c r="A127" s="80" t="s">
        <v>285</v>
      </c>
      <c r="B127" s="27" t="n">
        <v>2.5</v>
      </c>
    </row>
    <row r="128" customFormat="false" ht="12.8" hidden="false" customHeight="false" outlineLevel="0" collapsed="false">
      <c r="A128" s="80" t="s">
        <v>286</v>
      </c>
      <c r="B128" s="27" t="n">
        <v>8.3</v>
      </c>
    </row>
    <row r="129" customFormat="false" ht="12.8" hidden="false" customHeight="false" outlineLevel="0" collapsed="false">
      <c r="A129" s="80" t="s">
        <v>287</v>
      </c>
      <c r="B129" s="27" t="n">
        <v>7</v>
      </c>
    </row>
    <row r="130" customFormat="false" ht="12.8" hidden="false" customHeight="false" outlineLevel="0" collapsed="false">
      <c r="A130" s="80" t="s">
        <v>288</v>
      </c>
      <c r="B130" s="27" t="n">
        <v>5.4</v>
      </c>
    </row>
    <row r="131" customFormat="false" ht="12.8" hidden="false" customHeight="false" outlineLevel="0" collapsed="false">
      <c r="A131" s="80" t="s">
        <v>289</v>
      </c>
      <c r="B131" s="27" t="n">
        <v>6.5</v>
      </c>
    </row>
    <row r="132" customFormat="false" ht="12.8" hidden="false" customHeight="false" outlineLevel="0" collapsed="false">
      <c r="A132" s="80" t="s">
        <v>290</v>
      </c>
      <c r="B132" s="27" t="n">
        <v>5.8</v>
      </c>
    </row>
    <row r="133" customFormat="false" ht="12.8" hidden="false" customHeight="false" outlineLevel="0" collapsed="false">
      <c r="A133" s="80" t="s">
        <v>291</v>
      </c>
      <c r="B133" s="27" t="n">
        <v>2.6</v>
      </c>
    </row>
    <row r="134" customFormat="false" ht="12.8" hidden="false" customHeight="false" outlineLevel="0" collapsed="false">
      <c r="A134" s="80" t="s">
        <v>292</v>
      </c>
      <c r="B134" s="27" t="n">
        <v>5.3</v>
      </c>
    </row>
    <row r="135" customFormat="false" ht="12.8" hidden="false" customHeight="false" outlineLevel="0" collapsed="false">
      <c r="A135" s="80" t="s">
        <v>293</v>
      </c>
      <c r="B135" s="27" t="n">
        <v>2.1</v>
      </c>
    </row>
    <row r="136" customFormat="false" ht="12.8" hidden="false" customHeight="false" outlineLevel="0" collapsed="false">
      <c r="A136" s="80" t="s">
        <v>294</v>
      </c>
      <c r="B136" s="27" t="n">
        <v>1.3</v>
      </c>
    </row>
    <row r="137" customFormat="false" ht="12.8" hidden="false" customHeight="false" outlineLevel="0" collapsed="false">
      <c r="A137" s="80" t="s">
        <v>295</v>
      </c>
      <c r="B137" s="27" t="n">
        <v>9.5</v>
      </c>
    </row>
    <row r="138" customFormat="false" ht="12.8" hidden="false" customHeight="false" outlineLevel="0" collapsed="false">
      <c r="A138" s="80" t="s">
        <v>296</v>
      </c>
      <c r="B138" s="27" t="n">
        <v>9</v>
      </c>
    </row>
    <row r="139" customFormat="false" ht="12.8" hidden="false" customHeight="false" outlineLevel="0" collapsed="false">
      <c r="A139" s="80" t="s">
        <v>297</v>
      </c>
      <c r="B139" s="27" t="n">
        <v>8.8</v>
      </c>
    </row>
    <row r="140" customFormat="false" ht="12.8" hidden="false" customHeight="false" outlineLevel="0" collapsed="false">
      <c r="A140" s="80" t="s">
        <v>298</v>
      </c>
      <c r="B140" s="27" t="n">
        <v>7.6</v>
      </c>
    </row>
    <row r="141" customFormat="false" ht="12.8" hidden="false" customHeight="false" outlineLevel="0" collapsed="false">
      <c r="A141" s="80" t="s">
        <v>299</v>
      </c>
      <c r="B141" s="27" t="n">
        <v>7.6</v>
      </c>
    </row>
    <row r="142" customFormat="false" ht="12.8" hidden="false" customHeight="false" outlineLevel="0" collapsed="false">
      <c r="A142" s="80" t="s">
        <v>300</v>
      </c>
      <c r="B142" s="27" t="n">
        <v>7</v>
      </c>
    </row>
    <row r="143" customFormat="false" ht="12.8" hidden="false" customHeight="false" outlineLevel="0" collapsed="false">
      <c r="A143" s="80" t="s">
        <v>301</v>
      </c>
      <c r="B143" s="27" t="n">
        <v>9</v>
      </c>
    </row>
    <row r="144" customFormat="false" ht="12.8" hidden="false" customHeight="false" outlineLevel="0" collapsed="false">
      <c r="A144" s="80" t="s">
        <v>302</v>
      </c>
      <c r="B144" s="27" t="n">
        <v>7.7</v>
      </c>
    </row>
    <row r="145" customFormat="false" ht="12.8" hidden="false" customHeight="false" outlineLevel="0" collapsed="false">
      <c r="A145" s="80" t="s">
        <v>303</v>
      </c>
      <c r="B145" s="27" t="n">
        <v>7.5</v>
      </c>
    </row>
    <row r="146" customFormat="false" ht="12.8" hidden="false" customHeight="false" outlineLevel="0" collapsed="false">
      <c r="A146" s="80" t="s">
        <v>304</v>
      </c>
      <c r="B146" s="27" t="n">
        <v>6.2</v>
      </c>
    </row>
    <row r="147" customFormat="false" ht="12.8" hidden="false" customHeight="false" outlineLevel="0" collapsed="false">
      <c r="A147" s="80" t="s">
        <v>305</v>
      </c>
      <c r="B147" s="27" t="n">
        <v>6.1</v>
      </c>
    </row>
    <row r="148" customFormat="false" ht="12.8" hidden="false" customHeight="false" outlineLevel="0" collapsed="false">
      <c r="A148" s="80" t="s">
        <v>306</v>
      </c>
      <c r="B148" s="27" t="n">
        <v>5.3</v>
      </c>
    </row>
    <row r="149" customFormat="false" ht="12.8" hidden="false" customHeight="false" outlineLevel="0" collapsed="false">
      <c r="A149" s="80" t="s">
        <v>307</v>
      </c>
      <c r="B149" s="27" t="n">
        <v>7.7</v>
      </c>
    </row>
    <row r="150" customFormat="false" ht="12.8" hidden="false" customHeight="false" outlineLevel="0" collapsed="false">
      <c r="A150" s="80" t="s">
        <v>308</v>
      </c>
      <c r="B150" s="27" t="n">
        <v>6.6</v>
      </c>
    </row>
    <row r="151" customFormat="false" ht="12.8" hidden="false" customHeight="false" outlineLevel="0" collapsed="false">
      <c r="A151" s="80" t="s">
        <v>309</v>
      </c>
      <c r="B151" s="27" t="n">
        <v>6.8</v>
      </c>
    </row>
    <row r="152" customFormat="false" ht="12.8" hidden="false" customHeight="false" outlineLevel="0" collapsed="false">
      <c r="A152" s="80" t="s">
        <v>310</v>
      </c>
      <c r="B152" s="27" t="n">
        <v>5.9</v>
      </c>
    </row>
    <row r="153" customFormat="false" ht="12.8" hidden="false" customHeight="false" outlineLevel="0" collapsed="false">
      <c r="A153" s="80" t="s">
        <v>311</v>
      </c>
      <c r="B153" s="27" t="n">
        <v>5.2</v>
      </c>
    </row>
    <row r="154" customFormat="false" ht="12.8" hidden="false" customHeight="false" outlineLevel="0" collapsed="false">
      <c r="A154" s="80" t="s">
        <v>312</v>
      </c>
      <c r="B154" s="27" t="n">
        <v>3</v>
      </c>
    </row>
    <row r="155" customFormat="false" ht="12.8" hidden="false" customHeight="false" outlineLevel="0" collapsed="false">
      <c r="A155" s="80" t="s">
        <v>313</v>
      </c>
      <c r="B155" s="27" t="n">
        <v>8.9</v>
      </c>
    </row>
    <row r="156" customFormat="false" ht="12.8" hidden="false" customHeight="false" outlineLevel="0" collapsed="false">
      <c r="A156" s="80" t="s">
        <v>314</v>
      </c>
      <c r="B156" s="27" t="n">
        <v>7.8</v>
      </c>
    </row>
    <row r="157" customFormat="false" ht="12.8" hidden="false" customHeight="false" outlineLevel="0" collapsed="false">
      <c r="A157" s="80" t="s">
        <v>315</v>
      </c>
      <c r="B157" s="27" t="n">
        <v>7.6</v>
      </c>
    </row>
    <row r="158" customFormat="false" ht="12.8" hidden="false" customHeight="false" outlineLevel="0" collapsed="false">
      <c r="A158" s="80" t="s">
        <v>316</v>
      </c>
      <c r="B158" s="27" t="n">
        <v>6.7</v>
      </c>
    </row>
    <row r="159" customFormat="false" ht="12.8" hidden="false" customHeight="false" outlineLevel="0" collapsed="false">
      <c r="A159" s="80" t="s">
        <v>317</v>
      </c>
      <c r="B159" s="27" t="n">
        <v>6.2</v>
      </c>
    </row>
    <row r="160" customFormat="false" ht="12.8" hidden="false" customHeight="false" outlineLevel="0" collapsed="false">
      <c r="A160" s="80" t="s">
        <v>318</v>
      </c>
      <c r="B160" s="27" t="n">
        <v>5.8</v>
      </c>
    </row>
    <row r="161" customFormat="false" ht="12.8" hidden="false" customHeight="false" outlineLevel="0" collapsed="false">
      <c r="A161" s="80" t="s">
        <v>319</v>
      </c>
      <c r="B161" s="27" t="n">
        <v>7.4</v>
      </c>
    </row>
    <row r="162" customFormat="false" ht="12.8" hidden="false" customHeight="false" outlineLevel="0" collapsed="false">
      <c r="A162" s="80" t="s">
        <v>320</v>
      </c>
      <c r="B162" s="27" t="n">
        <v>5.9</v>
      </c>
    </row>
    <row r="163" customFormat="false" ht="12.8" hidden="false" customHeight="false" outlineLevel="0" collapsed="false">
      <c r="A163" s="80" t="s">
        <v>321</v>
      </c>
      <c r="B163" s="27" t="n">
        <v>5.7</v>
      </c>
    </row>
    <row r="164" customFormat="false" ht="12.8" hidden="false" customHeight="false" outlineLevel="0" collapsed="false">
      <c r="A164" s="80" t="s">
        <v>322</v>
      </c>
      <c r="B164" s="27" t="n">
        <v>5.7</v>
      </c>
    </row>
    <row r="165" customFormat="false" ht="12.8" hidden="false" customHeight="false" outlineLevel="0" collapsed="false">
      <c r="A165" s="80" t="s">
        <v>323</v>
      </c>
      <c r="B165" s="27" t="n">
        <v>4.7</v>
      </c>
    </row>
    <row r="166" customFormat="false" ht="12.8" hidden="false" customHeight="false" outlineLevel="0" collapsed="false">
      <c r="A166" s="80" t="s">
        <v>324</v>
      </c>
      <c r="B166" s="27" t="n">
        <v>2.3</v>
      </c>
    </row>
    <row r="167" customFormat="false" ht="12.8" hidden="false" customHeight="false" outlineLevel="0" collapsed="false">
      <c r="A167" s="80" t="s">
        <v>325</v>
      </c>
      <c r="B167" s="27" t="n">
        <v>6.1</v>
      </c>
    </row>
    <row r="168" customFormat="false" ht="12.8" hidden="false" customHeight="false" outlineLevel="0" collapsed="false">
      <c r="A168" s="80" t="s">
        <v>326</v>
      </c>
      <c r="B168" s="27" t="n">
        <v>5.2</v>
      </c>
    </row>
    <row r="169" customFormat="false" ht="12.8" hidden="false" customHeight="false" outlineLevel="0" collapsed="false">
      <c r="A169" s="80" t="s">
        <v>327</v>
      </c>
      <c r="B169" s="27" t="n">
        <v>5.7</v>
      </c>
    </row>
    <row r="170" customFormat="false" ht="12.8" hidden="false" customHeight="false" outlineLevel="0" collapsed="false">
      <c r="A170" s="80" t="s">
        <v>328</v>
      </c>
      <c r="B170" s="27" t="n">
        <v>2.9</v>
      </c>
    </row>
    <row r="171" customFormat="false" ht="12.8" hidden="false" customHeight="false" outlineLevel="0" collapsed="false">
      <c r="A171" s="80" t="s">
        <v>329</v>
      </c>
      <c r="B171" s="27" t="n">
        <v>2.4</v>
      </c>
    </row>
    <row r="172" customFormat="false" ht="12.8" hidden="false" customHeight="false" outlineLevel="0" collapsed="false">
      <c r="A172" s="80" t="s">
        <v>330</v>
      </c>
      <c r="B172" s="27" t="n">
        <v>1.6</v>
      </c>
    </row>
    <row r="173" customFormat="false" ht="12.8" hidden="false" customHeight="false" outlineLevel="0" collapsed="false">
      <c r="A173" s="80" t="s">
        <v>331</v>
      </c>
      <c r="B173" s="27" t="n">
        <v>7.1</v>
      </c>
    </row>
    <row r="174" customFormat="false" ht="12.8" hidden="false" customHeight="false" outlineLevel="0" collapsed="false">
      <c r="A174" s="80" t="s">
        <v>332</v>
      </c>
      <c r="B174" s="27" t="n">
        <v>5.9</v>
      </c>
    </row>
    <row r="175" customFormat="false" ht="12.8" hidden="false" customHeight="false" outlineLevel="0" collapsed="false">
      <c r="A175" s="80" t="s">
        <v>333</v>
      </c>
      <c r="B175" s="27" t="n">
        <v>3</v>
      </c>
    </row>
    <row r="176" customFormat="false" ht="12.8" hidden="false" customHeight="false" outlineLevel="0" collapsed="false">
      <c r="A176" s="80" t="s">
        <v>334</v>
      </c>
      <c r="B176" s="27" t="n">
        <v>5.8</v>
      </c>
    </row>
    <row r="177" customFormat="false" ht="12.8" hidden="false" customHeight="false" outlineLevel="0" collapsed="false">
      <c r="A177" s="80" t="s">
        <v>335</v>
      </c>
      <c r="B177" s="27" t="n">
        <v>2.6</v>
      </c>
    </row>
    <row r="178" customFormat="false" ht="12.8" hidden="false" customHeight="false" outlineLevel="0" collapsed="false">
      <c r="A178" s="80" t="s">
        <v>336</v>
      </c>
      <c r="B178" s="27" t="n">
        <v>1.5</v>
      </c>
    </row>
    <row r="179" customFormat="false" ht="12.8" hidden="false" customHeight="false" outlineLevel="0" collapsed="false">
      <c r="A179" s="80" t="s">
        <v>337</v>
      </c>
      <c r="B179" s="27" t="n">
        <v>2.3</v>
      </c>
    </row>
    <row r="180" customFormat="false" ht="12.8" hidden="false" customHeight="false" outlineLevel="0" collapsed="false">
      <c r="A180" s="80" t="s">
        <v>338</v>
      </c>
      <c r="B180" s="27" t="n">
        <v>1.3</v>
      </c>
    </row>
    <row r="181" customFormat="false" ht="12.8" hidden="false" customHeight="false" outlineLevel="0" collapsed="false">
      <c r="A181" s="80" t="s">
        <v>339</v>
      </c>
      <c r="B181" s="27" t="n">
        <v>0.6</v>
      </c>
    </row>
    <row r="182" customFormat="false" ht="12.8" hidden="false" customHeight="false" outlineLevel="0" collapsed="false">
      <c r="A182" s="80" t="s">
        <v>340</v>
      </c>
      <c r="B182" s="27" t="n">
        <v>9.3</v>
      </c>
    </row>
    <row r="183" customFormat="false" ht="12.8" hidden="false" customHeight="false" outlineLevel="0" collapsed="false">
      <c r="A183" s="80" t="s">
        <v>341</v>
      </c>
      <c r="B183" s="27" t="n">
        <v>8.7</v>
      </c>
    </row>
    <row r="184" customFormat="false" ht="12.8" hidden="false" customHeight="false" outlineLevel="0" collapsed="false">
      <c r="A184" s="80" t="s">
        <v>342</v>
      </c>
      <c r="B184" s="27" t="n">
        <v>8.6</v>
      </c>
    </row>
    <row r="185" customFormat="false" ht="12.8" hidden="false" customHeight="false" outlineLevel="0" collapsed="false">
      <c r="A185" s="80" t="s">
        <v>343</v>
      </c>
      <c r="B185" s="27" t="n">
        <v>7.2</v>
      </c>
    </row>
    <row r="186" customFormat="false" ht="12.8" hidden="false" customHeight="false" outlineLevel="0" collapsed="false">
      <c r="A186" s="80" t="s">
        <v>344</v>
      </c>
      <c r="B186" s="27" t="n">
        <v>7.5</v>
      </c>
    </row>
    <row r="187" customFormat="false" ht="12.8" hidden="false" customHeight="false" outlineLevel="0" collapsed="false">
      <c r="A187" s="80" t="s">
        <v>345</v>
      </c>
      <c r="B187" s="27" t="n">
        <v>5.8</v>
      </c>
    </row>
    <row r="188" customFormat="false" ht="12.8" hidden="false" customHeight="false" outlineLevel="0" collapsed="false">
      <c r="A188" s="80" t="s">
        <v>346</v>
      </c>
      <c r="B188" s="27" t="n">
        <v>8.6</v>
      </c>
    </row>
    <row r="189" customFormat="false" ht="12.8" hidden="false" customHeight="false" outlineLevel="0" collapsed="false">
      <c r="A189" s="80" t="s">
        <v>347</v>
      </c>
      <c r="B189" s="27" t="n">
        <v>7.4</v>
      </c>
    </row>
    <row r="190" customFormat="false" ht="12.8" hidden="false" customHeight="false" outlineLevel="0" collapsed="false">
      <c r="A190" s="80" t="s">
        <v>348</v>
      </c>
      <c r="B190" s="27" t="n">
        <v>7.4</v>
      </c>
    </row>
    <row r="191" customFormat="false" ht="12.8" hidden="false" customHeight="false" outlineLevel="0" collapsed="false">
      <c r="A191" s="80" t="s">
        <v>349</v>
      </c>
      <c r="B191" s="27" t="n">
        <v>6.1</v>
      </c>
    </row>
    <row r="192" customFormat="false" ht="12.8" hidden="false" customHeight="false" outlineLevel="0" collapsed="false">
      <c r="A192" s="80" t="s">
        <v>350</v>
      </c>
      <c r="B192" s="27" t="n">
        <v>5.6</v>
      </c>
    </row>
    <row r="193" customFormat="false" ht="12.8" hidden="false" customHeight="false" outlineLevel="0" collapsed="false">
      <c r="A193" s="80" t="s">
        <v>351</v>
      </c>
      <c r="B193" s="27" t="n">
        <v>3.4</v>
      </c>
    </row>
    <row r="194" customFormat="false" ht="12.8" hidden="false" customHeight="false" outlineLevel="0" collapsed="false">
      <c r="A194" s="80" t="s">
        <v>352</v>
      </c>
      <c r="B194" s="27" t="n">
        <v>7</v>
      </c>
    </row>
    <row r="195" customFormat="false" ht="12.8" hidden="false" customHeight="false" outlineLevel="0" collapsed="false">
      <c r="A195" s="80" t="s">
        <v>353</v>
      </c>
      <c r="B195" s="27" t="n">
        <v>5.4</v>
      </c>
    </row>
    <row r="196" customFormat="false" ht="12.8" hidden="false" customHeight="false" outlineLevel="0" collapsed="false">
      <c r="A196" s="80" t="s">
        <v>354</v>
      </c>
      <c r="B196" s="27" t="n">
        <v>5.2</v>
      </c>
    </row>
    <row r="197" customFormat="false" ht="12.8" hidden="false" customHeight="false" outlineLevel="0" collapsed="false">
      <c r="A197" s="80" t="s">
        <v>355</v>
      </c>
      <c r="B197" s="27" t="n">
        <v>4</v>
      </c>
    </row>
    <row r="198" customFormat="false" ht="12.8" hidden="false" customHeight="false" outlineLevel="0" collapsed="false">
      <c r="A198" s="80" t="s">
        <v>356</v>
      </c>
      <c r="B198" s="27" t="n">
        <v>4</v>
      </c>
    </row>
    <row r="199" customFormat="false" ht="12.8" hidden="false" customHeight="false" outlineLevel="0" collapsed="false">
      <c r="A199" s="80" t="s">
        <v>357</v>
      </c>
      <c r="B199" s="27" t="n">
        <v>2.2</v>
      </c>
    </row>
    <row r="200" customFormat="false" ht="12.8" hidden="false" customHeight="false" outlineLevel="0" collapsed="false">
      <c r="A200" s="80" t="s">
        <v>358</v>
      </c>
      <c r="B200" s="27" t="n">
        <v>8.5</v>
      </c>
    </row>
    <row r="201" customFormat="false" ht="12.8" hidden="false" customHeight="false" outlineLevel="0" collapsed="false">
      <c r="A201" s="80" t="s">
        <v>359</v>
      </c>
      <c r="B201" s="27" t="n">
        <v>7.5</v>
      </c>
    </row>
    <row r="202" customFormat="false" ht="12.8" hidden="false" customHeight="false" outlineLevel="0" collapsed="false">
      <c r="A202" s="80" t="s">
        <v>360</v>
      </c>
      <c r="B202" s="27" t="n">
        <v>7.4</v>
      </c>
    </row>
    <row r="203" customFormat="false" ht="12.8" hidden="false" customHeight="false" outlineLevel="0" collapsed="false">
      <c r="A203" s="80" t="s">
        <v>361</v>
      </c>
      <c r="B203" s="27" t="n">
        <v>5.5</v>
      </c>
    </row>
    <row r="204" customFormat="false" ht="12.8" hidden="false" customHeight="false" outlineLevel="0" collapsed="false">
      <c r="A204" s="80" t="s">
        <v>362</v>
      </c>
      <c r="B204" s="27" t="n">
        <v>6.2</v>
      </c>
    </row>
    <row r="205" customFormat="false" ht="12.8" hidden="false" customHeight="false" outlineLevel="0" collapsed="false">
      <c r="A205" s="80" t="s">
        <v>363</v>
      </c>
      <c r="B205" s="27" t="n">
        <v>5.1</v>
      </c>
    </row>
    <row r="206" customFormat="false" ht="12.8" hidden="false" customHeight="false" outlineLevel="0" collapsed="false">
      <c r="A206" s="80" t="s">
        <v>364</v>
      </c>
      <c r="B206" s="27" t="n">
        <v>7.2</v>
      </c>
    </row>
    <row r="207" customFormat="false" ht="12.8" hidden="false" customHeight="false" outlineLevel="0" collapsed="false">
      <c r="A207" s="80" t="s">
        <v>365</v>
      </c>
      <c r="B207" s="27" t="n">
        <v>5.7</v>
      </c>
    </row>
    <row r="208" customFormat="false" ht="12.8" hidden="false" customHeight="false" outlineLevel="0" collapsed="false">
      <c r="A208" s="80" t="s">
        <v>366</v>
      </c>
      <c r="B208" s="27" t="n">
        <v>5.5</v>
      </c>
    </row>
    <row r="209" customFormat="false" ht="12.8" hidden="false" customHeight="false" outlineLevel="0" collapsed="false">
      <c r="A209" s="80" t="s">
        <v>367</v>
      </c>
      <c r="B209" s="27" t="n">
        <v>4.1</v>
      </c>
    </row>
    <row r="210" customFormat="false" ht="12.8" hidden="false" customHeight="false" outlineLevel="0" collapsed="false">
      <c r="A210" s="80" t="s">
        <v>368</v>
      </c>
      <c r="B210" s="27" t="n">
        <v>4.6</v>
      </c>
    </row>
    <row r="211" customFormat="false" ht="12.8" hidden="false" customHeight="false" outlineLevel="0" collapsed="false">
      <c r="A211" s="80" t="s">
        <v>369</v>
      </c>
      <c r="B211" s="27" t="n">
        <v>1.9</v>
      </c>
    </row>
    <row r="212" customFormat="false" ht="12.8" hidden="false" customHeight="false" outlineLevel="0" collapsed="false">
      <c r="A212" s="80" t="s">
        <v>370</v>
      </c>
      <c r="B212" s="27" t="n">
        <v>5.3</v>
      </c>
    </row>
    <row r="213" customFormat="false" ht="12.8" hidden="false" customHeight="false" outlineLevel="0" collapsed="false">
      <c r="A213" s="80" t="s">
        <v>371</v>
      </c>
      <c r="B213" s="27" t="n">
        <v>3.6</v>
      </c>
    </row>
    <row r="214" customFormat="false" ht="12.8" hidden="false" customHeight="false" outlineLevel="0" collapsed="false">
      <c r="A214" s="80" t="s">
        <v>372</v>
      </c>
      <c r="B214" s="27" t="n">
        <v>3.4</v>
      </c>
    </row>
    <row r="215" customFormat="false" ht="12.8" hidden="false" customHeight="false" outlineLevel="0" collapsed="false">
      <c r="A215" s="80" t="s">
        <v>373</v>
      </c>
      <c r="B215" s="27" t="n">
        <v>1.9</v>
      </c>
    </row>
    <row r="216" customFormat="false" ht="12.8" hidden="false" customHeight="false" outlineLevel="0" collapsed="false">
      <c r="A216" s="80" t="s">
        <v>374</v>
      </c>
      <c r="B216" s="27" t="n">
        <v>1.9</v>
      </c>
    </row>
    <row r="217" customFormat="false" ht="12.8" hidden="false" customHeight="false" outlineLevel="0" collapsed="false">
      <c r="A217" s="80" t="s">
        <v>375</v>
      </c>
      <c r="B217" s="27" t="n">
        <v>0.8</v>
      </c>
    </row>
    <row r="218" customFormat="false" ht="12.8" hidden="false" customHeight="false" outlineLevel="0" collapsed="false">
      <c r="A218" s="80" t="s">
        <v>376</v>
      </c>
      <c r="B218" s="27" t="n">
        <v>6.4</v>
      </c>
    </row>
    <row r="219" customFormat="false" ht="12.8" hidden="false" customHeight="false" outlineLevel="0" collapsed="false">
      <c r="A219" s="80" t="s">
        <v>377</v>
      </c>
      <c r="B219" s="27" t="n">
        <v>5.1</v>
      </c>
    </row>
    <row r="220" customFormat="false" ht="12.8" hidden="false" customHeight="false" outlineLevel="0" collapsed="false">
      <c r="A220" s="80" t="s">
        <v>378</v>
      </c>
      <c r="B220" s="27" t="n">
        <v>2</v>
      </c>
    </row>
    <row r="221" customFormat="false" ht="12.8" hidden="false" customHeight="false" outlineLevel="0" collapsed="false">
      <c r="A221" s="80" t="s">
        <v>379</v>
      </c>
      <c r="B221" s="27" t="n">
        <v>4.7</v>
      </c>
    </row>
    <row r="222" customFormat="false" ht="12.8" hidden="false" customHeight="false" outlineLevel="0" collapsed="false">
      <c r="A222" s="80" t="s">
        <v>380</v>
      </c>
      <c r="B222" s="27" t="n">
        <v>2.1</v>
      </c>
    </row>
    <row r="223" customFormat="false" ht="12.8" hidden="false" customHeight="false" outlineLevel="0" collapsed="false">
      <c r="A223" s="80" t="s">
        <v>381</v>
      </c>
      <c r="B223" s="27" t="n">
        <v>1.1</v>
      </c>
    </row>
    <row r="224" customFormat="false" ht="12.8" hidden="false" customHeight="false" outlineLevel="0" collapsed="false">
      <c r="A224" s="80" t="s">
        <v>382</v>
      </c>
      <c r="B224" s="27" t="n">
        <v>2.4</v>
      </c>
    </row>
    <row r="225" customFormat="false" ht="12.8" hidden="false" customHeight="false" outlineLevel="0" collapsed="false">
      <c r="A225" s="80" t="s">
        <v>383</v>
      </c>
      <c r="B225" s="27" t="n">
        <v>0.9</v>
      </c>
    </row>
    <row r="226" customFormat="false" ht="12.8" hidden="false" customHeight="false" outlineLevel="0" collapsed="false">
      <c r="A226" s="80" t="s">
        <v>384</v>
      </c>
      <c r="B226" s="27" t="n">
        <v>0.4</v>
      </c>
    </row>
    <row r="227" customFormat="false" ht="12.8" hidden="false" customHeight="false" outlineLevel="0" collapsed="false">
      <c r="A227" s="80" t="s">
        <v>385</v>
      </c>
      <c r="B227" s="27" t="n">
        <v>8.8</v>
      </c>
    </row>
    <row r="228" customFormat="false" ht="12.8" hidden="false" customHeight="false" outlineLevel="0" collapsed="false">
      <c r="A228" s="80" t="s">
        <v>386</v>
      </c>
      <c r="B228" s="27" t="n">
        <v>7.5</v>
      </c>
    </row>
    <row r="229" customFormat="false" ht="12.8" hidden="false" customHeight="false" outlineLevel="0" collapsed="false">
      <c r="A229" s="80" t="s">
        <v>387</v>
      </c>
      <c r="B229" s="27" t="n">
        <v>7.3</v>
      </c>
    </row>
    <row r="230" customFormat="false" ht="12.8" hidden="false" customHeight="false" outlineLevel="0" collapsed="false">
      <c r="A230" s="80" t="s">
        <v>388</v>
      </c>
      <c r="B230" s="27" t="n">
        <v>5.3</v>
      </c>
    </row>
    <row r="231" customFormat="false" ht="12.8" hidden="false" customHeight="false" outlineLevel="0" collapsed="false">
      <c r="A231" s="80" t="s">
        <v>389</v>
      </c>
      <c r="B231" s="27" t="n">
        <v>6</v>
      </c>
    </row>
    <row r="232" customFormat="false" ht="12.8" hidden="false" customHeight="false" outlineLevel="0" collapsed="false">
      <c r="A232" s="80" t="s">
        <v>390</v>
      </c>
      <c r="B232" s="27" t="n">
        <v>5</v>
      </c>
    </row>
    <row r="233" customFormat="false" ht="12.8" hidden="false" customHeight="false" outlineLevel="0" collapsed="false">
      <c r="A233" s="80" t="s">
        <v>391</v>
      </c>
      <c r="B233" s="27" t="n">
        <v>7.3</v>
      </c>
    </row>
    <row r="234" customFormat="false" ht="12.8" hidden="false" customHeight="false" outlineLevel="0" collapsed="false">
      <c r="A234" s="80" t="s">
        <v>392</v>
      </c>
      <c r="B234" s="27" t="n">
        <v>5.5</v>
      </c>
    </row>
    <row r="235" customFormat="false" ht="12.8" hidden="false" customHeight="false" outlineLevel="0" collapsed="false">
      <c r="A235" s="80" t="s">
        <v>393</v>
      </c>
      <c r="B235" s="27" t="n">
        <v>5.9</v>
      </c>
    </row>
    <row r="236" customFormat="false" ht="12.8" hidden="false" customHeight="false" outlineLevel="0" collapsed="false">
      <c r="A236" s="80" t="s">
        <v>394</v>
      </c>
      <c r="B236" s="27" t="n">
        <v>4</v>
      </c>
    </row>
    <row r="237" customFormat="false" ht="12.8" hidden="false" customHeight="false" outlineLevel="0" collapsed="false">
      <c r="A237" s="80" t="s">
        <v>395</v>
      </c>
      <c r="B237" s="27" t="n">
        <v>4.1</v>
      </c>
    </row>
    <row r="238" customFormat="false" ht="12.8" hidden="false" customHeight="false" outlineLevel="0" collapsed="false">
      <c r="A238" s="80" t="s">
        <v>396</v>
      </c>
      <c r="B238" s="27" t="n">
        <v>2</v>
      </c>
    </row>
    <row r="239" customFormat="false" ht="12.8" hidden="false" customHeight="false" outlineLevel="0" collapsed="false">
      <c r="A239" s="80" t="s">
        <v>397</v>
      </c>
      <c r="B239" s="27" t="n">
        <v>5.4</v>
      </c>
    </row>
    <row r="240" customFormat="false" ht="12.8" hidden="false" customHeight="false" outlineLevel="0" collapsed="false">
      <c r="A240" s="80" t="s">
        <v>398</v>
      </c>
      <c r="B240" s="27" t="n">
        <v>4.3</v>
      </c>
    </row>
    <row r="241" customFormat="false" ht="12.8" hidden="false" customHeight="false" outlineLevel="0" collapsed="false">
      <c r="A241" s="80" t="s">
        <v>399</v>
      </c>
      <c r="B241" s="27" t="n">
        <v>4.5</v>
      </c>
    </row>
    <row r="242" customFormat="false" ht="12.8" hidden="false" customHeight="false" outlineLevel="0" collapsed="false">
      <c r="A242" s="80" t="s">
        <v>400</v>
      </c>
      <c r="B242" s="27" t="n">
        <v>2.2</v>
      </c>
    </row>
    <row r="243" customFormat="false" ht="12.8" hidden="false" customHeight="false" outlineLevel="0" collapsed="false">
      <c r="A243" s="80" t="s">
        <v>401</v>
      </c>
      <c r="B243" s="27" t="n">
        <v>2</v>
      </c>
    </row>
    <row r="244" customFormat="false" ht="12.8" hidden="false" customHeight="false" outlineLevel="0" collapsed="false">
      <c r="A244" s="80" t="s">
        <v>402</v>
      </c>
      <c r="B244" s="27" t="n">
        <v>1.1</v>
      </c>
    </row>
    <row r="245" customFormat="false" ht="12.8" hidden="false" customHeight="false" outlineLevel="0" collapsed="false">
      <c r="A245" s="80" t="s">
        <v>403</v>
      </c>
      <c r="B245" s="27" t="n">
        <v>7.5</v>
      </c>
    </row>
    <row r="246" customFormat="false" ht="12.8" hidden="false" customHeight="false" outlineLevel="0" collapsed="false">
      <c r="A246" s="80" t="s">
        <v>404</v>
      </c>
      <c r="B246" s="27" t="n">
        <v>5.5</v>
      </c>
    </row>
    <row r="247" customFormat="false" ht="12.8" hidden="false" customHeight="false" outlineLevel="0" collapsed="false">
      <c r="A247" s="80" t="s">
        <v>405</v>
      </c>
      <c r="B247" s="27" t="n">
        <v>5.8</v>
      </c>
    </row>
    <row r="248" customFormat="false" ht="12.8" hidden="false" customHeight="false" outlineLevel="0" collapsed="false">
      <c r="A248" s="80" t="s">
        <v>406</v>
      </c>
      <c r="B248" s="27" t="n">
        <v>4.5</v>
      </c>
    </row>
    <row r="249" customFormat="false" ht="12.8" hidden="false" customHeight="false" outlineLevel="0" collapsed="false">
      <c r="A249" s="80" t="s">
        <v>407</v>
      </c>
      <c r="B249" s="27" t="n">
        <v>4</v>
      </c>
    </row>
    <row r="250" customFormat="false" ht="12.8" hidden="false" customHeight="false" outlineLevel="0" collapsed="false">
      <c r="A250" s="80" t="s">
        <v>408</v>
      </c>
      <c r="B250" s="27" t="n">
        <v>2.1</v>
      </c>
    </row>
    <row r="251" customFormat="false" ht="12.8" hidden="false" customHeight="false" outlineLevel="0" collapsed="false">
      <c r="A251" s="80" t="s">
        <v>409</v>
      </c>
      <c r="B251" s="27" t="n">
        <v>6.1</v>
      </c>
    </row>
    <row r="252" customFormat="false" ht="12.8" hidden="false" customHeight="false" outlineLevel="0" collapsed="false">
      <c r="A252" s="80" t="s">
        <v>410</v>
      </c>
      <c r="B252" s="27" t="n">
        <v>5.1</v>
      </c>
    </row>
    <row r="253" customFormat="false" ht="12.8" hidden="false" customHeight="false" outlineLevel="0" collapsed="false">
      <c r="A253" s="80" t="s">
        <v>411</v>
      </c>
      <c r="B253" s="27" t="n">
        <v>4.8</v>
      </c>
    </row>
    <row r="254" customFormat="false" ht="12.8" hidden="false" customHeight="false" outlineLevel="0" collapsed="false">
      <c r="A254" s="80" t="s">
        <v>412</v>
      </c>
      <c r="B254" s="27" t="n">
        <v>1.8</v>
      </c>
    </row>
    <row r="255" customFormat="false" ht="12.8" hidden="false" customHeight="false" outlineLevel="0" collapsed="false">
      <c r="A255" s="80" t="s">
        <v>413</v>
      </c>
      <c r="B255" s="27" t="n">
        <v>2</v>
      </c>
    </row>
    <row r="256" customFormat="false" ht="12.8" hidden="false" customHeight="false" outlineLevel="0" collapsed="false">
      <c r="A256" s="80" t="s">
        <v>414</v>
      </c>
      <c r="B256" s="27" t="n">
        <v>0.9</v>
      </c>
    </row>
    <row r="257" customFormat="false" ht="12.8" hidden="false" customHeight="false" outlineLevel="0" collapsed="false">
      <c r="A257" s="80" t="s">
        <v>415</v>
      </c>
      <c r="B257" s="27" t="n">
        <v>4.6</v>
      </c>
    </row>
    <row r="258" customFormat="false" ht="12.8" hidden="false" customHeight="false" outlineLevel="0" collapsed="false">
      <c r="A258" s="80" t="s">
        <v>416</v>
      </c>
      <c r="B258" s="27" t="n">
        <v>1.8</v>
      </c>
    </row>
    <row r="259" customFormat="false" ht="12.8" hidden="false" customHeight="false" outlineLevel="0" collapsed="false">
      <c r="A259" s="80" t="s">
        <v>417</v>
      </c>
      <c r="B259" s="27" t="n">
        <v>1.7</v>
      </c>
    </row>
    <row r="260" customFormat="false" ht="12.8" hidden="false" customHeight="false" outlineLevel="0" collapsed="false">
      <c r="A260" s="80" t="s">
        <v>418</v>
      </c>
      <c r="B260" s="27" t="n">
        <v>0.7</v>
      </c>
    </row>
    <row r="261" customFormat="false" ht="12.8" hidden="false" customHeight="false" outlineLevel="0" collapsed="false">
      <c r="A261" s="80" t="s">
        <v>419</v>
      </c>
      <c r="B261" s="27" t="n">
        <v>0.8</v>
      </c>
    </row>
    <row r="262" customFormat="false" ht="12.8" hidden="false" customHeight="false" outlineLevel="0" collapsed="false">
      <c r="A262" s="80" t="s">
        <v>420</v>
      </c>
      <c r="B262" s="27" t="n">
        <v>0.2</v>
      </c>
    </row>
    <row r="263" customFormat="false" ht="12.8" hidden="false" customHeight="false" outlineLevel="0" collapsed="false">
      <c r="A263" s="80" t="s">
        <v>421</v>
      </c>
      <c r="B263" s="27" t="n">
        <v>5.3</v>
      </c>
    </row>
    <row r="264" customFormat="false" ht="12.8" hidden="false" customHeight="false" outlineLevel="0" collapsed="false">
      <c r="A264" s="80" t="s">
        <v>422</v>
      </c>
      <c r="B264" s="27" t="n">
        <v>2.4</v>
      </c>
    </row>
    <row r="265" customFormat="false" ht="12.8" hidden="false" customHeight="false" outlineLevel="0" collapsed="false">
      <c r="A265" s="80" t="s">
        <v>423</v>
      </c>
      <c r="B265" s="27" t="n">
        <v>1.4</v>
      </c>
    </row>
    <row r="266" customFormat="false" ht="12.8" hidden="false" customHeight="false" outlineLevel="0" collapsed="false">
      <c r="A266" s="80" t="s">
        <v>424</v>
      </c>
      <c r="B266" s="27" t="n">
        <v>2.4</v>
      </c>
    </row>
    <row r="267" customFormat="false" ht="12.8" hidden="false" customHeight="false" outlineLevel="0" collapsed="false">
      <c r="A267" s="80" t="s">
        <v>425</v>
      </c>
      <c r="B267" s="27" t="n">
        <v>1.2</v>
      </c>
    </row>
    <row r="268" customFormat="false" ht="12.8" hidden="false" customHeight="false" outlineLevel="0" collapsed="false">
      <c r="A268" s="80" t="s">
        <v>426</v>
      </c>
      <c r="B268" s="27" t="n">
        <v>0.5</v>
      </c>
    </row>
    <row r="269" customFormat="false" ht="12.8" hidden="false" customHeight="false" outlineLevel="0" collapsed="false">
      <c r="A269" s="80" t="s">
        <v>427</v>
      </c>
      <c r="B269" s="27" t="n">
        <v>1</v>
      </c>
    </row>
    <row r="270" customFormat="false" ht="12.8" hidden="false" customHeight="false" outlineLevel="0" collapsed="false">
      <c r="A270" s="80" t="s">
        <v>428</v>
      </c>
      <c r="B270" s="27" t="n">
        <v>0.3</v>
      </c>
    </row>
    <row r="271" customFormat="false" ht="12.8" hidden="false" customHeight="false" outlineLevel="0" collapsed="false">
      <c r="A271" s="80" t="s">
        <v>429</v>
      </c>
      <c r="B271" s="27" t="n">
        <v>0.1</v>
      </c>
    </row>
    <row r="272" customFormat="false" ht="12.8" hidden="false" customHeight="false" outlineLevel="0" collapsed="false">
      <c r="A272" s="27" t="s">
        <v>430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1.53515625" defaultRowHeight="12.8" zeroHeight="false" outlineLevelRow="0" outlineLevelCol="0"/>
  <cols>
    <col collapsed="false" customWidth="true" hidden="false" outlineLevel="0" max="2" min="2" style="7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29"/>
      <c r="B1" s="81" t="str">
        <f aca="false">IF(EnableCharacterization="Yes (Y)","Y","N")</f>
        <v>N</v>
      </c>
      <c r="C1" s="29"/>
      <c r="D1" s="29"/>
      <c r="E1" s="29"/>
      <c r="F1" s="29"/>
      <c r="G1" s="29"/>
      <c r="H1" s="29"/>
    </row>
    <row r="2" customFormat="false" ht="12.8" hidden="false" customHeight="false" outlineLevel="0" collapsed="false">
      <c r="A2" s="29"/>
      <c r="B2" s="82"/>
      <c r="C2" s="29"/>
      <c r="D2" s="29"/>
      <c r="E2" s="29"/>
      <c r="F2" s="29"/>
      <c r="G2" s="29"/>
      <c r="H2" s="29"/>
    </row>
    <row r="3" customFormat="false" ht="16.4" hidden="false" customHeight="true" outlineLevel="0" collapsed="false">
      <c r="A3" s="29"/>
      <c r="B3" s="71" t="s">
        <v>54</v>
      </c>
      <c r="C3" s="71"/>
      <c r="D3" s="71"/>
      <c r="E3" s="29"/>
      <c r="F3" s="29"/>
      <c r="G3" s="29"/>
      <c r="H3" s="29"/>
    </row>
    <row r="4" customFormat="false" ht="13.8" hidden="false" customHeight="false" outlineLevel="0" collapsed="false">
      <c r="A4" s="29"/>
      <c r="B4" s="72" t="s">
        <v>111</v>
      </c>
      <c r="C4" s="72" t="s">
        <v>114</v>
      </c>
      <c r="D4" s="72" t="s">
        <v>431</v>
      </c>
      <c r="E4" s="29"/>
      <c r="F4" s="29"/>
      <c r="G4" s="29"/>
      <c r="H4" s="29"/>
    </row>
    <row r="5" customFormat="false" ht="16.4" hidden="false" customHeight="false" outlineLevel="0" collapsed="false">
      <c r="A5" s="29"/>
      <c r="B5" s="83" t="n">
        <f aca="false">COUNTIF(Character_MAV,"Yes (Y)")</f>
        <v>2</v>
      </c>
      <c r="C5" s="83" t="n">
        <f aca="false">COUNTIF(Character_MAV,"No (N)")</f>
        <v>1</v>
      </c>
      <c r="D5" s="84" t="n">
        <f aca="false">B5/SUM(B5:C5)</f>
        <v>0.666666666666667</v>
      </c>
      <c r="E5" s="29"/>
      <c r="F5" s="29"/>
      <c r="G5" s="29"/>
      <c r="H5" s="29"/>
    </row>
    <row r="6" customFormat="false" ht="13.8" hidden="false" customHeight="false" outlineLevel="0" collapsed="false">
      <c r="A6" s="29"/>
      <c r="B6" s="85" t="s">
        <v>432</v>
      </c>
      <c r="C6" s="72" t="s">
        <v>433</v>
      </c>
      <c r="D6" s="86" t="n">
        <v>1</v>
      </c>
      <c r="E6" s="86" t="n">
        <v>0.6</v>
      </c>
      <c r="F6" s="86" t="n">
        <v>0.3</v>
      </c>
      <c r="G6" s="86" t="n">
        <v>0</v>
      </c>
      <c r="H6" s="29"/>
    </row>
    <row r="7" customFormat="false" ht="12.8" hidden="false" customHeight="false" outlineLevel="0" collapsed="false">
      <c r="A7" s="29"/>
      <c r="B7" s="87" t="str">
        <f aca="false">_LOOKUPS!D4</f>
        <v>Network (N)</v>
      </c>
      <c r="C7" s="87" t="str">
        <f aca="false">IF($B$1="N",$B7,IF($D$5&gt;=$D$6,$D7,IF($D$5&gt;=$E$6,$E7,IF($D$5&gt;=$F$6,$F7,$G7))))</f>
        <v>Network (N)</v>
      </c>
      <c r="D7" s="36" t="s">
        <v>434</v>
      </c>
      <c r="E7" s="36" t="s">
        <v>435</v>
      </c>
      <c r="F7" s="36" t="s">
        <v>436</v>
      </c>
      <c r="G7" s="88" t="s">
        <v>437</v>
      </c>
      <c r="H7" s="29"/>
    </row>
    <row r="8" customFormat="false" ht="12.8" hidden="false" customHeight="false" outlineLevel="0" collapsed="false">
      <c r="A8" s="29"/>
      <c r="B8" s="87" t="str">
        <f aca="false">_LOOKUPS!D5</f>
        <v>Adjacent (A)</v>
      </c>
      <c r="C8" s="87" t="str">
        <f aca="false">IF($B$1="N",$B8,IF($D$5&gt;=$D$6,$D8,IF($D$5&gt;=$E$6,$E8,IF($D$5&gt;=$F$6,$F8,$G8))))</f>
        <v>Adjacent (A)</v>
      </c>
      <c r="D8" s="36" t="s">
        <v>434</v>
      </c>
      <c r="E8" s="36" t="s">
        <v>435</v>
      </c>
      <c r="F8" s="36" t="s">
        <v>436</v>
      </c>
      <c r="G8" s="36" t="s">
        <v>436</v>
      </c>
      <c r="H8" s="29"/>
    </row>
    <row r="9" customFormat="false" ht="12.8" hidden="false" customHeight="false" outlineLevel="0" collapsed="false">
      <c r="A9" s="29"/>
      <c r="B9" s="87" t="str">
        <f aca="false">_LOOKUPS!D6</f>
        <v>Local (L)</v>
      </c>
      <c r="C9" s="87" t="str">
        <f aca="false">IF($B$1="N",$B9,IF($D$5&gt;=$D$6,$D9,IF($D$5&gt;=$E$6,$E9,IF($D$5&gt;=$F$6,$F9,$G9))))</f>
        <v>Local (L)</v>
      </c>
      <c r="D9" s="36" t="s">
        <v>434</v>
      </c>
      <c r="E9" s="36" t="s">
        <v>434</v>
      </c>
      <c r="F9" s="36" t="s">
        <v>435</v>
      </c>
      <c r="G9" s="36" t="s">
        <v>435</v>
      </c>
      <c r="H9" s="29"/>
    </row>
    <row r="10" customFormat="false" ht="12.8" hidden="false" customHeight="false" outlineLevel="0" collapsed="false">
      <c r="A10" s="29"/>
      <c r="B10" s="87" t="str">
        <f aca="false">_LOOKUPS!D7</f>
        <v>Physical (P)</v>
      </c>
      <c r="C10" s="87" t="str">
        <f aca="false">IF($B$1="N",$B10,IF($D$5&gt;=$D$6,$D10,IF($D$5&gt;=$E$6,$E10,IF($D$5&gt;=$F$6,$F10,$G10))))</f>
        <v>Physical (P)</v>
      </c>
      <c r="D10" s="36" t="s">
        <v>434</v>
      </c>
      <c r="E10" s="36" t="s">
        <v>434</v>
      </c>
      <c r="F10" s="36" t="s">
        <v>434</v>
      </c>
      <c r="G10" s="36" t="s">
        <v>434</v>
      </c>
      <c r="H10" s="29"/>
    </row>
    <row r="11" customFormat="false" ht="12.8" hidden="false" customHeight="false" outlineLevel="0" collapsed="false">
      <c r="A11" s="29"/>
      <c r="B11" s="29"/>
      <c r="C11" s="29"/>
      <c r="D11" s="29"/>
      <c r="E11" s="29"/>
      <c r="F11" s="29"/>
      <c r="G11" s="29"/>
      <c r="H11" s="29"/>
    </row>
    <row r="12" customFormat="false" ht="16.4" hidden="false" customHeight="true" outlineLevel="0" collapsed="false">
      <c r="A12" s="29"/>
      <c r="B12" s="89" t="s">
        <v>55</v>
      </c>
      <c r="C12" s="89"/>
      <c r="D12" s="29"/>
      <c r="E12" s="29"/>
      <c r="F12" s="29"/>
      <c r="G12" s="29"/>
      <c r="H12" s="29"/>
    </row>
    <row r="13" customFormat="false" ht="13.8" hidden="false" customHeight="false" outlineLevel="0" collapsed="false">
      <c r="A13" s="29"/>
      <c r="B13" s="72" t="s">
        <v>111</v>
      </c>
      <c r="C13" s="72" t="s">
        <v>114</v>
      </c>
      <c r="D13" s="72" t="s">
        <v>431</v>
      </c>
      <c r="E13" s="29"/>
      <c r="F13" s="29"/>
      <c r="G13" s="29"/>
      <c r="H13" s="29"/>
    </row>
    <row r="14" customFormat="false" ht="16.4" hidden="false" customHeight="false" outlineLevel="0" collapsed="false">
      <c r="A14" s="29"/>
      <c r="B14" s="83" t="n">
        <f aca="false">COUNTIF(Character_MAC,"Yes (Y)")</f>
        <v>0</v>
      </c>
      <c r="C14" s="83" t="n">
        <f aca="false">COUNTIF(Character_MAC,"No (N)")</f>
        <v>2</v>
      </c>
      <c r="D14" s="84" t="n">
        <f aca="false">B14/SUM(B14:C14)</f>
        <v>0</v>
      </c>
      <c r="E14" s="29"/>
      <c r="F14" s="29"/>
      <c r="G14" s="29"/>
      <c r="H14" s="29"/>
    </row>
    <row r="15" customFormat="false" ht="13.8" hidden="false" customHeight="false" outlineLevel="0" collapsed="false">
      <c r="A15" s="29"/>
      <c r="B15" s="85" t="s">
        <v>103</v>
      </c>
      <c r="C15" s="72" t="s">
        <v>105</v>
      </c>
      <c r="D15" s="86" t="n">
        <v>1</v>
      </c>
      <c r="E15" s="86" t="n">
        <v>0.6</v>
      </c>
      <c r="F15" s="86" t="n">
        <v>0.3</v>
      </c>
      <c r="G15" s="86" t="n">
        <v>0</v>
      </c>
      <c r="H15" s="29"/>
    </row>
    <row r="16" customFormat="false" ht="12.8" hidden="false" customHeight="false" outlineLevel="0" collapsed="false">
      <c r="A16" s="29"/>
      <c r="B16" s="87" t="str">
        <f aca="false">_LOOKUPS!D11</f>
        <v>Low (L)</v>
      </c>
      <c r="C16" s="87" t="str">
        <f aca="false">IF($B$1="N",$B16,IF($D$14&gt;=$D$15,$D16,IF($D$14&gt;=$E$15,$E16,IF($D$14&gt;=$F$15,$F16,$G16))))</f>
        <v>Low (L)</v>
      </c>
      <c r="D16" s="36" t="s">
        <v>88</v>
      </c>
      <c r="E16" s="36" t="s">
        <v>88</v>
      </c>
      <c r="F16" s="36" t="s">
        <v>84</v>
      </c>
      <c r="G16" s="36" t="s">
        <v>84</v>
      </c>
      <c r="H16" s="29"/>
    </row>
    <row r="17" customFormat="false" ht="12.8" hidden="false" customHeight="false" outlineLevel="0" collapsed="false">
      <c r="A17" s="29"/>
      <c r="B17" s="87" t="str">
        <f aca="false">_LOOKUPS!D12</f>
        <v>High (H)</v>
      </c>
      <c r="C17" s="87" t="str">
        <f aca="false">IF($B$1="N",$B17,IF($D$14&gt;=$D$15,$D17,IF($D$14&gt;=$E$15,$E17,IF($D$14&gt;=$F$15,$F17,$G17))))</f>
        <v>High (H)</v>
      </c>
      <c r="D17" s="36" t="s">
        <v>88</v>
      </c>
      <c r="E17" s="36" t="s">
        <v>88</v>
      </c>
      <c r="F17" s="36" t="s">
        <v>88</v>
      </c>
      <c r="G17" s="36" t="s">
        <v>88</v>
      </c>
      <c r="H17" s="29"/>
    </row>
    <row r="18" customFormat="false" ht="12.8" hidden="false" customHeight="false" outlineLevel="0" collapsed="false">
      <c r="A18" s="29"/>
      <c r="B18" s="82"/>
      <c r="C18" s="29"/>
      <c r="D18" s="29"/>
      <c r="E18" s="29"/>
      <c r="F18" s="29"/>
      <c r="G18" s="29"/>
      <c r="H18" s="29"/>
    </row>
    <row r="19" customFormat="false" ht="16.4" hidden="false" customHeight="true" outlineLevel="0" collapsed="false">
      <c r="A19" s="29"/>
      <c r="B19" s="89" t="s">
        <v>56</v>
      </c>
      <c r="C19" s="89"/>
    </row>
    <row r="20" customFormat="false" ht="13.8" hidden="false" customHeight="false" outlineLevel="0" collapsed="false">
      <c r="A20" s="29"/>
      <c r="B20" s="85" t="s">
        <v>103</v>
      </c>
      <c r="C20" s="72" t="s">
        <v>105</v>
      </c>
    </row>
    <row r="21" customFormat="false" ht="12.8" hidden="false" customHeight="false" outlineLevel="0" collapsed="false">
      <c r="A21" s="29"/>
      <c r="B21" s="74" t="s">
        <v>106</v>
      </c>
      <c r="C21" s="74" t="e">
        <f aca="false">#REF!&amp;" ("&amp;B21&amp;")"</f>
        <v>#REF!</v>
      </c>
    </row>
    <row r="22" customFormat="false" ht="12.8" hidden="false" customHeight="false" outlineLevel="0" collapsed="false">
      <c r="A22" s="29"/>
      <c r="B22" s="76" t="s">
        <v>117</v>
      </c>
      <c r="C22" s="74" t="e">
        <f aca="false">#REF!&amp;" ("&amp;B22&amp;")"</f>
        <v>#REF!</v>
      </c>
    </row>
    <row r="23" customFormat="false" ht="12.8" hidden="false" customHeight="false" outlineLevel="0" collapsed="false">
      <c r="A23" s="29"/>
      <c r="B23" s="82"/>
      <c r="C23" s="29"/>
    </row>
    <row r="24" customFormat="false" ht="16.4" hidden="false" customHeight="true" outlineLevel="0" collapsed="false">
      <c r="A24" s="29"/>
      <c r="B24" s="89" t="s">
        <v>126</v>
      </c>
      <c r="C24" s="89"/>
    </row>
    <row r="25" customFormat="false" ht="13.8" hidden="false" customHeight="false" outlineLevel="0" collapsed="false">
      <c r="A25" s="29"/>
      <c r="B25" s="85" t="s">
        <v>103</v>
      </c>
      <c r="C25" s="72" t="s">
        <v>105</v>
      </c>
    </row>
    <row r="26" customFormat="false" ht="12.8" hidden="false" customHeight="false" outlineLevel="0" collapsed="false">
      <c r="A26" s="29"/>
      <c r="B26" s="74" t="s">
        <v>106</v>
      </c>
      <c r="C26" s="74" t="e">
        <f aca="false">#REF!&amp;" ("&amp;B26&amp;")"</f>
        <v>#REF!</v>
      </c>
    </row>
    <row r="27" customFormat="false" ht="12.8" hidden="false" customHeight="false" outlineLevel="0" collapsed="false">
      <c r="A27" s="29"/>
      <c r="B27" s="76" t="s">
        <v>115</v>
      </c>
      <c r="C27" s="74" t="e">
        <f aca="false">#REF!&amp;" ("&amp;B27&amp;")"</f>
        <v>#REF!</v>
      </c>
    </row>
    <row r="28" customFormat="false" ht="12.8" hidden="false" customHeight="false" outlineLevel="0" collapsed="false">
      <c r="A28" s="29"/>
      <c r="B28" s="74" t="s">
        <v>121</v>
      </c>
      <c r="C28" s="74" t="e">
        <f aca="false">#REF!&amp;" ("&amp;B28&amp;")"</f>
        <v>#REF!</v>
      </c>
    </row>
    <row r="29" customFormat="false" ht="12.8" hidden="false" customHeight="false" outlineLevel="0" collapsed="false">
      <c r="A29" s="29"/>
      <c r="B29" s="82"/>
      <c r="C29" s="29"/>
    </row>
    <row r="30" customFormat="false" ht="16.4" hidden="false" customHeight="true" outlineLevel="0" collapsed="false">
      <c r="A30" s="29"/>
      <c r="B30" s="89" t="s">
        <v>131</v>
      </c>
      <c r="C30" s="89"/>
    </row>
    <row r="31" customFormat="false" ht="13.8" hidden="false" customHeight="false" outlineLevel="0" collapsed="false">
      <c r="A31" s="29"/>
      <c r="B31" s="85" t="s">
        <v>103</v>
      </c>
      <c r="C31" s="72" t="s">
        <v>105</v>
      </c>
    </row>
    <row r="32" customFormat="false" ht="12.8" hidden="false" customHeight="false" outlineLevel="0" collapsed="false">
      <c r="A32" s="29"/>
      <c r="B32" s="74" t="s">
        <v>106</v>
      </c>
      <c r="C32" s="74" t="e">
        <f aca="false">#REF!&amp;" ("&amp;B32&amp;")"</f>
        <v>#REF!</v>
      </c>
    </row>
    <row r="33" customFormat="false" ht="12.8" hidden="false" customHeight="false" outlineLevel="0" collapsed="false">
      <c r="A33" s="29"/>
      <c r="B33" s="76" t="s">
        <v>117</v>
      </c>
      <c r="C33" s="74" t="e">
        <f aca="false">#REF!&amp;" ("&amp;B33&amp;")"</f>
        <v>#REF!</v>
      </c>
    </row>
    <row r="34" customFormat="false" ht="12.8" hidden="false" customHeight="false" outlineLevel="0" collapsed="false">
      <c r="A34" s="29"/>
      <c r="B34" s="74" t="s">
        <v>112</v>
      </c>
      <c r="C34" s="74" t="e">
        <f aca="false">#REF!&amp;" ("&amp;B34&amp;")"</f>
        <v>#REF!</v>
      </c>
    </row>
    <row r="35" customFormat="false" ht="12.8" hidden="false" customHeight="false" outlineLevel="0" collapsed="false">
      <c r="A35" s="29"/>
      <c r="B35" s="82"/>
      <c r="C35" s="29"/>
    </row>
    <row r="36" customFormat="false" ht="16.4" hidden="false" customHeight="true" outlineLevel="0" collapsed="false">
      <c r="A36" s="29"/>
      <c r="B36" s="89" t="s">
        <v>136</v>
      </c>
      <c r="C36" s="89"/>
    </row>
    <row r="37" customFormat="false" ht="13.8" hidden="false" customHeight="false" outlineLevel="0" collapsed="false">
      <c r="A37" s="29"/>
      <c r="B37" s="85" t="s">
        <v>103</v>
      </c>
      <c r="C37" s="72" t="s">
        <v>105</v>
      </c>
    </row>
    <row r="38" customFormat="false" ht="12.8" hidden="false" customHeight="false" outlineLevel="0" collapsed="false">
      <c r="A38" s="29"/>
      <c r="B38" s="74" t="s">
        <v>121</v>
      </c>
      <c r="C38" s="74" t="e">
        <f aca="false">#REF!&amp;" ("&amp;B38&amp;")"</f>
        <v>#REF!</v>
      </c>
    </row>
    <row r="39" customFormat="false" ht="12.8" hidden="false" customHeight="false" outlineLevel="0" collapsed="false">
      <c r="A39" s="29"/>
      <c r="B39" s="76" t="s">
        <v>115</v>
      </c>
      <c r="C39" s="74" t="e">
        <f aca="false">#REF!&amp;" ("&amp;B39&amp;")"</f>
        <v>#REF!</v>
      </c>
    </row>
    <row r="40" customFormat="false" ht="12.8" hidden="false" customHeight="false" outlineLevel="0" collapsed="false">
      <c r="A40" s="29"/>
      <c r="B40" s="74" t="s">
        <v>106</v>
      </c>
      <c r="C40" s="74" t="e">
        <f aca="false">#REF!&amp;" ("&amp;B40&amp;")"</f>
        <v>#REF!</v>
      </c>
    </row>
    <row r="41" customFormat="false" ht="12.8" hidden="false" customHeight="false" outlineLevel="0" collapsed="false">
      <c r="A41" s="29"/>
      <c r="B41" s="82"/>
      <c r="C41" s="29"/>
    </row>
    <row r="42" customFormat="false" ht="16.4" hidden="false" customHeight="true" outlineLevel="0" collapsed="false">
      <c r="A42" s="29"/>
      <c r="B42" s="89" t="s">
        <v>139</v>
      </c>
      <c r="C42" s="89"/>
    </row>
    <row r="43" customFormat="false" ht="13.8" hidden="false" customHeight="false" outlineLevel="0" collapsed="false">
      <c r="A43" s="29"/>
      <c r="B43" s="85" t="s">
        <v>103</v>
      </c>
      <c r="C43" s="72" t="s">
        <v>105</v>
      </c>
    </row>
    <row r="44" customFormat="false" ht="12.8" hidden="false" customHeight="false" outlineLevel="0" collapsed="false">
      <c r="A44" s="29"/>
      <c r="B44" s="74" t="s">
        <v>121</v>
      </c>
      <c r="C44" s="74" t="e">
        <f aca="false">#REF!&amp;" ("&amp;B44&amp;")"</f>
        <v>#REF!</v>
      </c>
    </row>
    <row r="45" customFormat="false" ht="12.8" hidden="false" customHeight="false" outlineLevel="0" collapsed="false">
      <c r="A45" s="29"/>
      <c r="B45" s="76" t="s">
        <v>115</v>
      </c>
      <c r="C45" s="74" t="e">
        <f aca="false">#REF!&amp;" ("&amp;B45&amp;")"</f>
        <v>#REF!</v>
      </c>
    </row>
    <row r="46" customFormat="false" ht="12.8" hidden="false" customHeight="false" outlineLevel="0" collapsed="false">
      <c r="A46" s="29"/>
      <c r="B46" s="74" t="s">
        <v>106</v>
      </c>
      <c r="C46" s="74" t="e">
        <f aca="false">#REF!&amp;" ("&amp;B46&amp;")"</f>
        <v>#REF!</v>
      </c>
    </row>
    <row r="47" customFormat="false" ht="12.8" hidden="false" customHeight="false" outlineLevel="0" collapsed="false">
      <c r="A47" s="29"/>
      <c r="B47" s="82"/>
      <c r="C47" s="29"/>
    </row>
    <row r="48" customFormat="false" ht="16.4" hidden="false" customHeight="true" outlineLevel="0" collapsed="false">
      <c r="A48" s="29"/>
      <c r="B48" s="89" t="s">
        <v>148</v>
      </c>
      <c r="C48" s="89"/>
    </row>
    <row r="49" customFormat="false" ht="13.8" hidden="false" customHeight="false" outlineLevel="0" collapsed="false">
      <c r="A49" s="29"/>
      <c r="B49" s="85" t="s">
        <v>103</v>
      </c>
      <c r="C49" s="72" t="s">
        <v>105</v>
      </c>
    </row>
    <row r="50" customFormat="false" ht="12.8" hidden="false" customHeight="false" outlineLevel="0" collapsed="false">
      <c r="A50" s="29"/>
      <c r="B50" s="74" t="s">
        <v>121</v>
      </c>
      <c r="C50" s="74" t="e">
        <f aca="false">#REF!&amp;" ("&amp;B50&amp;")"</f>
        <v>#REF!</v>
      </c>
    </row>
    <row r="51" customFormat="false" ht="12.8" hidden="false" customHeight="false" outlineLevel="0" collapsed="false">
      <c r="A51" s="29"/>
      <c r="B51" s="76" t="s">
        <v>115</v>
      </c>
      <c r="C51" s="74" t="e">
        <f aca="false">#REF!&amp;" ("&amp;B51&amp;")"</f>
        <v>#REF!</v>
      </c>
    </row>
    <row r="52" customFormat="false" ht="12.8" hidden="false" customHeight="false" outlineLevel="0" collapsed="false">
      <c r="A52" s="29"/>
      <c r="B52" s="74" t="s">
        <v>106</v>
      </c>
      <c r="C52" s="74" t="e">
        <f aca="false">#REF!&amp;" ("&amp;B52&amp;")"</f>
        <v>#REF!</v>
      </c>
    </row>
    <row r="53" customFormat="false" ht="12.8" hidden="false" customHeight="false" outlineLevel="0" collapsed="false">
      <c r="A53" s="29"/>
      <c r="B53" s="82"/>
      <c r="C53" s="29"/>
    </row>
    <row r="54" customFormat="false" ht="16.4" hidden="false" customHeight="true" outlineLevel="0" collapsed="false">
      <c r="A54" s="29"/>
      <c r="B54" s="89" t="s">
        <v>149</v>
      </c>
      <c r="C54" s="89"/>
    </row>
    <row r="55" customFormat="false" ht="13.8" hidden="false" customHeight="false" outlineLevel="0" collapsed="false">
      <c r="A55" s="29"/>
      <c r="B55" s="85" t="s">
        <v>103</v>
      </c>
      <c r="C55" s="72" t="s">
        <v>105</v>
      </c>
    </row>
    <row r="56" customFormat="false" ht="12.8" hidden="false" customHeight="false" outlineLevel="0" collapsed="false">
      <c r="A56" s="29"/>
      <c r="B56" s="74" t="s">
        <v>121</v>
      </c>
      <c r="C56" s="74" t="e">
        <f aca="false">#REF!&amp;" ("&amp;B56&amp;")"</f>
        <v>#REF!</v>
      </c>
    </row>
    <row r="57" customFormat="false" ht="12.8" hidden="false" customHeight="false" outlineLevel="0" collapsed="false">
      <c r="A57" s="29"/>
      <c r="B57" s="76" t="s">
        <v>115</v>
      </c>
      <c r="C57" s="74" t="e">
        <f aca="false">#REF!&amp;" ("&amp;B57&amp;")"</f>
        <v>#REF!</v>
      </c>
    </row>
    <row r="58" customFormat="false" ht="12.8" hidden="false" customHeight="false" outlineLevel="0" collapsed="false">
      <c r="A58" s="29"/>
      <c r="B58" s="74" t="s">
        <v>106</v>
      </c>
      <c r="C58" s="74" t="e">
        <f aca="false">#REF!&amp;" ("&amp;B58&amp;")"</f>
        <v>#REF!</v>
      </c>
    </row>
    <row r="59" customFormat="false" ht="12.8" hidden="false" customHeight="false" outlineLevel="0" collapsed="false">
      <c r="A59" s="29"/>
      <c r="B59" s="82"/>
      <c r="C59" s="29"/>
    </row>
    <row r="60" customFormat="false" ht="16.4" hidden="false" customHeight="true" outlineLevel="0" collapsed="false">
      <c r="A60" s="29"/>
      <c r="B60" s="89" t="s">
        <v>150</v>
      </c>
      <c r="C60" s="89"/>
    </row>
    <row r="61" customFormat="false" ht="13.8" hidden="false" customHeight="false" outlineLevel="0" collapsed="false">
      <c r="A61" s="29"/>
      <c r="B61" s="85" t="s">
        <v>103</v>
      </c>
      <c r="C61" s="72" t="s">
        <v>105</v>
      </c>
    </row>
    <row r="62" customFormat="false" ht="12.8" hidden="false" customHeight="false" outlineLevel="0" collapsed="false">
      <c r="A62" s="29"/>
      <c r="B62" s="74" t="s">
        <v>121</v>
      </c>
      <c r="C62" s="74" t="e">
        <f aca="false">#REF!&amp;" ("&amp;B62&amp;")"</f>
        <v>#REF!</v>
      </c>
    </row>
    <row r="63" customFormat="false" ht="12.8" hidden="false" customHeight="false" outlineLevel="0" collapsed="false">
      <c r="A63" s="29"/>
      <c r="B63" s="76" t="s">
        <v>115</v>
      </c>
      <c r="C63" s="74" t="e">
        <f aca="false">#REF!&amp;" ("&amp;B63&amp;")"</f>
        <v>#REF!</v>
      </c>
    </row>
    <row r="64" customFormat="false" ht="12.8" hidden="false" customHeight="false" outlineLevel="0" collapsed="false">
      <c r="A64" s="29"/>
      <c r="B64" s="74" t="s">
        <v>106</v>
      </c>
      <c r="C64" s="74" t="e">
        <f aca="false">#REF!&amp;" ("&amp;B64&amp;")"</f>
        <v>#REF!</v>
      </c>
    </row>
    <row r="65" customFormat="false" ht="12.8" hidden="false" customHeight="false" outlineLevel="0" collapsed="false">
      <c r="A65" s="29"/>
      <c r="B65" s="82"/>
      <c r="C65" s="29"/>
    </row>
    <row r="66" customFormat="false" ht="16.4" hidden="false" customHeight="true" outlineLevel="0" collapsed="false">
      <c r="A66" s="29"/>
      <c r="B66" s="89" t="s">
        <v>151</v>
      </c>
      <c r="C66" s="89"/>
    </row>
    <row r="67" customFormat="false" ht="13.8" hidden="false" customHeight="false" outlineLevel="0" collapsed="false">
      <c r="A67" s="29"/>
      <c r="B67" s="85" t="s">
        <v>103</v>
      </c>
      <c r="C67" s="72" t="s">
        <v>105</v>
      </c>
    </row>
    <row r="68" customFormat="false" ht="12.8" hidden="false" customHeight="false" outlineLevel="0" collapsed="false">
      <c r="A68" s="29"/>
      <c r="B68" s="74" t="s">
        <v>121</v>
      </c>
      <c r="C68" s="74" t="e">
        <f aca="false">#REF!&amp;" ("&amp;B68&amp;")"</f>
        <v>#REF!</v>
      </c>
    </row>
    <row r="69" customFormat="false" ht="12.8" hidden="false" customHeight="false" outlineLevel="0" collapsed="false">
      <c r="A69" s="29"/>
      <c r="B69" s="76" t="s">
        <v>115</v>
      </c>
      <c r="C69" s="74" t="e">
        <f aca="false">#REF!&amp;" ("&amp;B69&amp;")"</f>
        <v>#REF!</v>
      </c>
    </row>
    <row r="70" customFormat="false" ht="12.8" hidden="false" customHeight="false" outlineLevel="0" collapsed="false">
      <c r="A70" s="29"/>
      <c r="B70" s="74" t="s">
        <v>106</v>
      </c>
      <c r="C70" s="74" t="e">
        <f aca="false">#REF!&amp;" ("&amp;B70&amp;")"</f>
        <v>#REF!</v>
      </c>
    </row>
    <row r="71" customFormat="false" ht="12.8" hidden="false" customHeight="false" outlineLevel="0" collapsed="false">
      <c r="A71" s="29"/>
      <c r="B71" s="82"/>
      <c r="C71" s="29"/>
    </row>
    <row r="72" customFormat="false" ht="16.4" hidden="false" customHeight="true" outlineLevel="0" collapsed="false">
      <c r="A72" s="29"/>
      <c r="B72" s="89" t="s">
        <v>67</v>
      </c>
      <c r="C72" s="89"/>
    </row>
    <row r="73" customFormat="false" ht="13.8" hidden="false" customHeight="false" outlineLevel="0" collapsed="false">
      <c r="A73" s="29"/>
      <c r="B73" s="85" t="s">
        <v>103</v>
      </c>
      <c r="C73" s="72" t="s">
        <v>105</v>
      </c>
    </row>
    <row r="74" customFormat="false" ht="12.8" hidden="false" customHeight="false" outlineLevel="0" collapsed="false">
      <c r="A74" s="29"/>
      <c r="B74" s="74" t="s">
        <v>108</v>
      </c>
      <c r="C74" s="74" t="e">
        <f aca="false">#REF!&amp;" ("&amp;B74&amp;")"</f>
        <v>#REF!</v>
      </c>
    </row>
    <row r="75" customFormat="false" ht="12.8" hidden="false" customHeight="false" outlineLevel="0" collapsed="false">
      <c r="A75" s="29"/>
      <c r="B75" s="76" t="s">
        <v>112</v>
      </c>
      <c r="C75" s="74" t="e">
        <f aca="false">#REF!&amp;" ("&amp;B75&amp;")"</f>
        <v>#REF!</v>
      </c>
    </row>
    <row r="76" customFormat="false" ht="12.8" hidden="false" customHeight="false" outlineLevel="0" collapsed="false">
      <c r="A76" s="29"/>
      <c r="B76" s="74" t="s">
        <v>117</v>
      </c>
      <c r="C76" s="74" t="e">
        <f aca="false">#REF!&amp;" ("&amp;B76&amp;")"</f>
        <v>#REF!</v>
      </c>
    </row>
    <row r="77" customFormat="false" ht="12.8" hidden="false" customHeight="false" outlineLevel="0" collapsed="false">
      <c r="A77" s="29"/>
      <c r="B77" s="76" t="s">
        <v>124</v>
      </c>
      <c r="C77" s="74" t="e">
        <f aca="false">#REF!&amp;" ("&amp;B77&amp;")"</f>
        <v>#REF!</v>
      </c>
    </row>
    <row r="78" customFormat="false" ht="12.8" hidden="false" customHeight="false" outlineLevel="0" collapsed="false">
      <c r="A78" s="29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2026-06-17T21:19:56Z</dcterms:modified>
  <cp:revision>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