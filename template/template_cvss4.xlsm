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workbook.xml" ContentType="application/vnd.ms-excel.sheet.macroEnabled.main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_rels/sheet5.xml.rels" ContentType="application/vnd.openxmlformats-package.relationships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8"/>
  </bookViews>
  <sheets>
    <sheet name="Cover Page" sheetId="1" state="visible" r:id="rId3"/>
    <sheet name="Risk Summary" sheetId="2" state="visible" r:id="rId4"/>
    <sheet name="Heat Map" sheetId="3" state="visible" r:id="rId5"/>
    <sheet name="Characterization (CVSS)" sheetId="4" state="visible" r:id="rId6"/>
    <sheet name="Risk Assessment (CVSS)" sheetId="5" state="visible" r:id="rId7"/>
    <sheet name="Risk Assessment (CWSS)" sheetId="6" state="visible" r:id="rId8"/>
    <sheet name="_LOOKUPS_COMMON" sheetId="7" state="visible" r:id="rId9"/>
    <sheet name="_LOOKUPS_CVSS" sheetId="8" state="visible" r:id="rId10"/>
    <sheet name="_LOOKUPS_CWSS" sheetId="9" state="visible" r:id="rId11"/>
    <sheet name="_CHARACTERIZATION_CALCS" sheetId="10" state="visible" r:id="rId12"/>
  </sheets>
  <definedNames>
    <definedName function="false" hidden="true" localSheetId="4" name="_xlnm._FilterDatabase" vbProcedure="false">'Risk Assessment (CVSS)'!$A$2:$AM$3</definedName>
    <definedName function="false" hidden="false" name="Character_MAC" vbProcedure="false">'Characterization (CVSS)'!$D$18:$D$20</definedName>
    <definedName function="false" hidden="false" name="Character_MAV" vbProcedure="false">'Characterization (CVSS)'!$D$7:$D$10</definedName>
    <definedName function="false" hidden="false" name="EnableCharacterization" vbProcedure="false">'Characterization (CVSS)'!$D$3</definedName>
    <definedName function="false" hidden="false" name="_lookup_A" vbProcedure="false">_LOOKUPS_CVSS!$H$10:$H$12</definedName>
    <definedName function="false" hidden="false" name="_lookup_AC" vbProcedure="false">_LOOKUPS_CVSS!$D$11:$D$12</definedName>
    <definedName function="false" hidden="false" name="_lookup_AT" vbProcedure="false">_LOOKUPS_CVSS!$D$16:$D$17</definedName>
    <definedName function="false" hidden="false" name="_lookup_AV" vbProcedure="false">_LOOKUPS_CVSS!$D$4:$D$7</definedName>
    <definedName function="false" hidden="false" name="_lookup_CWE" vbProcedure="false">#REF!</definedName>
    <definedName function="false" hidden="false" name="_lookup_CWSS_AL" vbProcedure="false">_LOOKUPS_CWSS!$D$66:$D$73</definedName>
    <definedName function="false" hidden="false" name="_lookup_CWSS_AP" vbProcedure="false">_LOOKUPS_CWSS!$D$33:$D$35</definedName>
    <definedName function="false" hidden="false" name="_lookup_CWSS_AS" vbProcedure="false">_LOOKUPS_CWSS!$D$117:$D$122</definedName>
    <definedName function="false" hidden="false" name="_lookup_CWSS_AU" vbProcedure="false">_LOOKUPS_CWSS!$D$27:$D$29</definedName>
    <definedName function="false" hidden="false" name="_lookup_CWSS_AV" vbProcedure="false">_LOOKUPS_CWSS!$D$19:$D$23</definedName>
    <definedName function="false" hidden="false" name="_lookup_CWSS_BI" vbProcedure="false">_LOOKUPS_CWSS!$D$45:$D$49</definedName>
    <definedName function="false" hidden="false" name="_lookup_CWSS_code_AL" vbProcedure="false">_LOOKUPS_CWSS!$C$66:$C$73</definedName>
    <definedName function="false" hidden="false" name="_lookup_CWSS_code_AP" vbProcedure="false">_LOOKUPS_CWSS!$C$33:$C$35</definedName>
    <definedName function="false" hidden="false" name="_lookup_CWSS_code_AS" vbProcedure="false">_LOOKUPS_CWSS!$C$117:$C$122</definedName>
    <definedName function="false" hidden="false" name="_lookup_CWSS_code_AU" vbProcedure="false">_LOOKUPS_CWSS!$C$27:$C$29</definedName>
    <definedName function="false" hidden="false" name="_lookup_CWSS_code_AV" vbProcedure="false">_LOOKUPS_CWSS!$C$19:$C$23</definedName>
    <definedName function="false" hidden="false" name="_lookup_CWSS_code_BI" vbProcedure="false">_LOOKUPS_CWSS!$C$45:$C$49</definedName>
    <definedName function="false" hidden="false" name="_lookup_CWSS_code_DI" vbProcedure="false">_LOOKUPS_CWSS!$C$53:$C$55</definedName>
    <definedName function="false" hidden="false" name="_lookup_CWSS_code_EC" vbProcedure="false">_LOOKUPS_CWSS!$C$146:$C$152</definedName>
    <definedName function="false" hidden="false" name="_lookup_CWSS_code_EX" vbProcedure="false">_LOOKUPS_CWSS!$C$126:$C$132</definedName>
    <definedName function="false" hidden="false" name="_lookup_CWSS_code_FC" vbProcedure="false">_LOOKUPS_CWSS!$C$77:$C$84</definedName>
    <definedName function="false" hidden="false" name="_lookup_CWSS_code_IC" vbProcedure="false">_LOOKUPS_CWSS!$C$12:$C$15</definedName>
    <definedName function="false" hidden="false" name="_lookup_CWSS_code_IN" vbProcedure="false">_LOOKUPS_CWSS!$C$108:$C$113</definedName>
    <definedName function="false" hidden="false" name="_lookup_CWSS_code_P" vbProcedure="false">_LOOKUPS_CWSS!$C$136:$C$142</definedName>
    <definedName function="false" hidden="false" name="_lookup_CWSS_code_RE" vbProcedure="false">_LOOKUPS_CWSS!$C$59:$C$62</definedName>
    <definedName function="false" hidden="false" name="_lookup_CWSS_code_RL" vbProcedure="false">_LOOKUPS_CWSS!$C$88:$C$95</definedName>
    <definedName function="false" hidden="false" name="_lookup_CWSS_code_RP" vbProcedure="false">_LOOKUPS_CWSS!$C$39:$C$41</definedName>
    <definedName function="false" hidden="false" name="_lookup_CWSS_code_SC" vbProcedure="false">_LOOKUPS_CWSS!$C$99:$C$104</definedName>
    <definedName function="false" hidden="false" name="_lookup_CWSS_code_TI" vbProcedure="false">_LOOKUPS_CWSS!$C$4:$C$8</definedName>
    <definedName function="false" hidden="false" name="_lookup_CWSS_DI" vbProcedure="false">_LOOKUPS_CWSS!$D$53:$D$55</definedName>
    <definedName function="false" hidden="false" name="_lookup_CWSS_EC" vbProcedure="false">_LOOKUPS_CWSS!$D$146:$D$152</definedName>
    <definedName function="false" hidden="false" name="_lookup_CWSS_EX" vbProcedure="false">_LOOKUPS_CWSS!$D$126:$D$132</definedName>
    <definedName function="false" hidden="false" name="_lookup_CWSS_FC" vbProcedure="false">_LOOKUPS_CWSS!$D$77:$D$84</definedName>
    <definedName function="false" hidden="false" name="_lookup_CWSS_IC" vbProcedure="false">_LOOKUPS_CWSS!$D$12:$D$15</definedName>
    <definedName function="false" hidden="false" name="_lookup_CWSS_IN" vbProcedure="false">_LOOKUPS_CWSS!$D$108:$D$113</definedName>
    <definedName function="false" hidden="false" name="_lookup_CWSS_P" vbProcedure="false">_LOOKUPS_CWSS!$D$136:$D$142</definedName>
    <definedName function="false" hidden="false" name="_lookup_CWSS_RE" vbProcedure="false">_LOOKUPS_CWSS!$D$59:$D$62</definedName>
    <definedName function="false" hidden="false" name="_lookup_CWSS_RL" vbProcedure="false">_LOOKUPS_CWSS!$D$88:$D$95</definedName>
    <definedName function="false" hidden="false" name="_lookup_CWSS_RP" vbProcedure="false">_LOOKUPS_CWSS!$D$39:$D$41</definedName>
    <definedName function="false" hidden="false" name="_lookup_CWSS_SC" vbProcedure="false">_LOOKUPS_CWSS!$D$99:$D$104</definedName>
    <definedName function="false" hidden="false" name="_lookup_CWSS_TI" vbProcedure="false">_LOOKUPS_CWSS!$D$4:$D$8</definedName>
    <definedName function="false" hidden="false" name="_lookup_E" vbProcedure="false">_LOOKUPS_CVSS!$D$69:$D$72</definedName>
    <definedName function="false" hidden="false" name="_lookup_heatmap_CWSS_val" vbProcedure="false">'Heat Map'!$D$4:$D$8</definedName>
    <definedName function="false" hidden="false" name="_lookup_heatmap_str" vbProcedure="false">'Heat Map'!$B$4:$B$8</definedName>
    <definedName function="false" hidden="false" name="_lookup_heatmap_val" vbProcedure="false">'Heat Map'!$C$4:$C$8</definedName>
    <definedName function="false" hidden="false" name="_lookup_MSA" vbProcedure="false">_LOOKUPS_CVSS!$D$83:$D$86</definedName>
    <definedName function="false" hidden="false" name="_lookup_MSI" vbProcedure="false">_LOOKUPS_CVSS!$D$76:$D$79</definedName>
    <definedName function="false" hidden="false" name="_lookup_PR" vbProcedure="false">_LOOKUPS_CVSS!$D$21:$D$23</definedName>
    <definedName function="false" hidden="false" name="_lookup_R" vbProcedure="false">_LOOKUPS_CVSS!$H$16:$H$19</definedName>
    <definedName function="false" hidden="false" name="_lookup_RE" vbProcedure="false">_LOOKUPS_CVSS!$H$29:$H$32</definedName>
    <definedName function="false" hidden="false" name="_lookup_S" vbProcedure="false">_LOOKUPS_CVSS!$H$4:$H$6</definedName>
    <definedName function="false" hidden="false" name="_lookup_SA" vbProcedure="false">_LOOKUPS_CVSS!$D$63:$D$65</definedName>
    <definedName function="false" hidden="false" name="_lookup_SafetyHeatMap" vbProcedure="false">'Heat Map'!$B$3:$I$8</definedName>
    <definedName function="false" hidden="false" name="_lookup_SafetyRating" vbProcedure="false">'Heat Map'!$E$3:$I$3</definedName>
    <definedName function="false" hidden="false" name="_lookup_SC" vbProcedure="false">_LOOKUPS_CVSS!$D$51:$D$53</definedName>
    <definedName function="false" hidden="false" name="_lookup_SI" vbProcedure="false">_LOOKUPS_CVSS!$D$57:$D$59</definedName>
    <definedName function="false" hidden="false" name="_lookup_STRIDE" vbProcedure="false">_LOOKUPS_COMMON!$D$9:$D$14</definedName>
    <definedName function="false" hidden="false" name="_lookup_U" vbProcedure="false">_LOOKUPS_CVSS!$H$36:$H$40</definedName>
    <definedName function="false" hidden="false" name="_lookup_UI" vbProcedure="false">_LOOKUPS_CVSS!$D$27:$D$29</definedName>
    <definedName function="false" hidden="false" name="_lookup_V" vbProcedure="false">_LOOKUPS_CVSS!$H$23:$H$25</definedName>
    <definedName function="false" hidden="false" name="_lookup_VA" vbProcedure="false">_LOOKUPS_CVSS!$D$45:$D$47</definedName>
    <definedName function="false" hidden="false" name="_lookup_VC" vbProcedure="false">_LOOKUPS_CVSS!$D$33:$D$35</definedName>
    <definedName function="false" hidden="false" name="_lookup_VI" vbProcedure="false">_LOOKUPS_CVSS!$D$39:$D$41</definedName>
    <definedName function="false" hidden="false" name="_lookup_Yes" vbProcedure="false">_LOOKUPS_COMMON!$D$4</definedName>
    <definedName function="false" hidden="false" name="_lookup_YesNo" vbProcedure="false">_LOOKUPS_COMMON!$D$4:$D$5</definedName>
    <definedName function="false" hidden="false" name="_map_AC_MAC" vbProcedure="false">_CHARACTERIZATION_CALCS!$B$16:$C$17</definedName>
    <definedName function="false" hidden="false" name="_map_AV_MAV" vbProcedure="false">_CHARACTERIZATION_CALCS!$B$7:$C$10</definedName>
    <definedName function="false" hidden="false" name="_weight_CWSS_AL" vbProcedure="false">_LOOKUPS_CWSS!$B$66:$B$73</definedName>
    <definedName function="false" hidden="false" name="_weight_CWSS_AP" vbProcedure="false">_LOOKUPS_CWSS!$B$33:$B$35</definedName>
    <definedName function="false" hidden="false" name="_weight_CWSS_AS" vbProcedure="false">_LOOKUPS_CWSS!$B$117:$B$122</definedName>
    <definedName function="false" hidden="false" name="_weight_CWSS_AU" vbProcedure="false">_LOOKUPS_CWSS!$B$27:$B$29</definedName>
    <definedName function="false" hidden="false" name="_weight_CWSS_AV" vbProcedure="false">_LOOKUPS_CWSS!$B$19:$B$23</definedName>
    <definedName function="false" hidden="false" name="_weight_CWSS_BI" vbProcedure="false">_LOOKUPS_CWSS!$B$45:$B$49</definedName>
    <definedName function="false" hidden="false" name="_weight_CWSS_DI" vbProcedure="false">_LOOKUPS_CWSS!$B$53:$B$55</definedName>
    <definedName function="false" hidden="false" name="_weight_CWSS_EC" vbProcedure="false">_LOOKUPS_CWSS!$B$146:$B$152</definedName>
    <definedName function="false" hidden="false" name="_weight_CWSS_EX" vbProcedure="false">_LOOKUPS_CWSS!$B$126:$B$132</definedName>
    <definedName function="false" hidden="false" name="_weight_CWSS_FC" vbProcedure="false">_LOOKUPS_CWSS!$B$77:$B$84</definedName>
    <definedName function="false" hidden="false" name="_weight_CWSS_IC" vbProcedure="false">_LOOKUPS_CWSS!$B$12:$B$15</definedName>
    <definedName function="false" hidden="false" name="_weight_CWSS_IN" vbProcedure="false">_LOOKUPS_CWSS!$B$108:$B$113</definedName>
    <definedName function="false" hidden="false" name="_weight_CWSS_P" vbProcedure="false">_LOOKUPS_CWSS!$B$136:$B$142</definedName>
    <definedName function="false" hidden="false" name="_weight_CWSS_RE" vbProcedure="false">_LOOKUPS_CWSS!$B$59:$B$62</definedName>
    <definedName function="false" hidden="false" name="_weight_CWSS_RL" vbProcedure="false">_LOOKUPS_CWSS!$B$88:$B$95</definedName>
    <definedName function="false" hidden="false" name="_weight_CWSS_RP" vbProcedure="false">_LOOKUPS_CWSS!$B$39:$B$41</definedName>
    <definedName function="false" hidden="false" name="_weight_CWSS_SC" vbProcedure="false">_LOOKUPS_CWSS!$B$99:$B$104</definedName>
    <definedName function="false" hidden="false" name="_weight_CWSS_TI" vbProcedure="false">_LOOKUPS_CWSS!$B$4:$B$8</definedName>
  </definedName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<sst xmlns="http://schemas.openxmlformats.org/spreadsheetml/2006/main" count="944" uniqueCount="274">
  <si>
    <t xml:space="preserve">Title</t>
  </si>
  <si>
    <t xml:space="preserve">Title Goes Here</t>
  </si>
  <si>
    <t xml:space="preserve">Change Log</t>
  </si>
  <si>
    <t xml:space="preserve">Date</t>
  </si>
  <si>
    <t xml:space="preserve">Person</t>
  </si>
  <si>
    <t xml:space="preserve">Changes</t>
  </si>
  <si>
    <t xml:space="preserve">Weaknesses (CWSS)</t>
  </si>
  <si>
    <t xml:space="preserve">Critical</t>
  </si>
  <si>
    <t xml:space="preserve">High</t>
  </si>
  <si>
    <t xml:space="preserve">Medium</t>
  </si>
  <si>
    <t xml:space="preserve">Low</t>
  </si>
  <si>
    <t xml:space="preserve">None</t>
  </si>
  <si>
    <t xml:space="preserve">Weaknesses</t>
  </si>
  <si>
    <t xml:space="preserve">Vulnerabilities (CVSS)</t>
  </si>
  <si>
    <t xml:space="preserve">Initial (Base)</t>
  </si>
  <si>
    <t xml:space="preserve">Residual (Modified)</t>
  </si>
  <si>
    <t xml:space="preserve">Cyber to Safety Heat-Map</t>
  </si>
  <si>
    <t xml:space="preserve">Cyber Risk</t>
  </si>
  <si>
    <t xml:space="preserve">Min CVSS Score</t>
  </si>
  <si>
    <t xml:space="preserve">Min CWSS Score</t>
  </si>
  <si>
    <t xml:space="preserve">Negligible</t>
  </si>
  <si>
    <t xml:space="preserve">Minor</t>
  </si>
  <si>
    <t xml:space="preserve">Moderate</t>
  </si>
  <si>
    <t xml:space="preserve">Serious</t>
  </si>
  <si>
    <t xml:space="preserve">Uncontrolled</t>
  </si>
  <si>
    <t xml:space="preserve">Controlled</t>
  </si>
  <si>
    <t xml:space="preserve">System Characterization Profile</t>
  </si>
  <si>
    <t xml:space="preserve">Enable Automatic Risk Adjustment</t>
  </si>
  <si>
    <t xml:space="preserve">No (N)</t>
  </si>
  <si>
    <t xml:space="preserve">Modified Attack Vector (MAV)</t>
  </si>
  <si>
    <t xml:space="preserve">Question</t>
  </si>
  <si>
    <t xml:space="preserve">Yes/No</t>
  </si>
  <si>
    <t xml:space="preserve">Q1</t>
  </si>
  <si>
    <t xml:space="preserve">Network Isolation: Is this asset located on a segmented network (e.g., VLAN, VPC) that explicitly denies all traffic from the wider enterprise network except for necessary, authenticated management traffic?</t>
  </si>
  <si>
    <t xml:space="preserve">Q2</t>
  </si>
  <si>
    <t xml:space="preserve">Edge Defense: Is the asset behind a hardened perimeter (WAF, IPS, or strict ACLs) that performs deep packet inspection and drops unauthorized protocols before they reach the service?</t>
  </si>
  <si>
    <t xml:space="preserve">Yes (Y)</t>
  </si>
  <si>
    <t xml:space="preserve">Q3</t>
  </si>
  <si>
    <t xml:space="preserve">Physical/Logical Air-gap: Is the service strictly internal-only, with no routable path from the public internet or external guest networks?</t>
  </si>
  <si>
    <t xml:space="preserve">Control Description</t>
  </si>
  <si>
    <t xml:space="preserve">&lt;describe the mechanisms to defend the choices above&gt;</t>
  </si>
  <si>
    <t xml:space="preserve">Control Identifiers</t>
  </si>
  <si>
    <t xml:space="preserve">&lt;List the unique identifiers (if applicable) to defend the choices above&gt;</t>
  </si>
  <si>
    <t xml:space="preserve">Modified Attack Complexity (MAC)</t>
  </si>
  <si>
    <t xml:space="preserve">Hardened Configuration: Does the target service have specific non-default security hardening (e.g., memory protection, strictly defined input schemas, or specific flag configurations) that would break the standard exploit path?</t>
  </si>
  <si>
    <t xml:space="preserve">Environmental Dependencies: Does the service require a non-standard or highly specific environmental state (e.g., specific hardware timing, non-default compiler settings) that is not present in our environment?</t>
  </si>
  <si>
    <t xml:space="preserve">Basic Information</t>
  </si>
  <si>
    <t xml:space="preserve">BASE METRIC GROUP</t>
  </si>
  <si>
    <t xml:space="preserve">THREAT</t>
  </si>
  <si>
    <t xml:space="preserve">RESIDUAL</t>
  </si>
  <si>
    <t xml:space="preserve">Safety (S)</t>
  </si>
  <si>
    <t xml:space="preserve">Controlled Status</t>
  </si>
  <si>
    <t xml:space="preserve">Risk ID</t>
  </si>
  <si>
    <t xml:space="preserve">Risk Description</t>
  </si>
  <si>
    <t xml:space="preserve">Asset / Component</t>
  </si>
  <si>
    <t xml:space="preserve">Source</t>
  </si>
  <si>
    <t xml:space="preserve">Source Identifier</t>
  </si>
  <si>
    <t xml:space="preserve">Vector String</t>
  </si>
  <si>
    <t xml:space="preserve">CVSS-B
Value</t>
  </si>
  <si>
    <t xml:space="preserve">CVSS-B
String</t>
  </si>
  <si>
    <t xml:space="preserve">Attack Vector (AV)</t>
  </si>
  <si>
    <t xml:space="preserve">Attack Complexity (AC)</t>
  </si>
  <si>
    <t xml:space="preserve">Attack Requirements (AT)</t>
  </si>
  <si>
    <t xml:space="preserve">Privileges Required
(PR)</t>
  </si>
  <si>
    <t xml:space="preserve">User Interaction
(UI)</t>
  </si>
  <si>
    <t xml:space="preserve">Vulnerable Conf.
(VC)</t>
  </si>
  <si>
    <t xml:space="preserve">Vulnerable Integ.
(VI)</t>
  </si>
  <si>
    <t xml:space="preserve">Vulnerable Avail.
(VA)</t>
  </si>
  <si>
    <t xml:space="preserve">Subsequent Conf. 
(SC)</t>
  </si>
  <si>
    <t xml:space="preserve">Subsequent Integ.
(SI)</t>
  </si>
  <si>
    <t xml:space="preserve">Subsequent Avail. 
(SA)</t>
  </si>
  <si>
    <t xml:space="preserve">Is KEV</t>
  </si>
  <si>
    <t xml:space="preserve">Exploit Risk
(EPSS)</t>
  </si>
  <si>
    <t xml:space="preserve">Exploit Maturity (E)</t>
  </si>
  <si>
    <t xml:space="preserve">Attack
Vector
(MAV)</t>
  </si>
  <si>
    <t xml:space="preserve">Attack Complexity (MAC)</t>
  </si>
  <si>
    <t xml:space="preserve">Attack Requirements (MAT)</t>
  </si>
  <si>
    <t xml:space="preserve">Privileges Required
(MPR)</t>
  </si>
  <si>
    <t xml:space="preserve">User Interaction
(MUI)</t>
  </si>
  <si>
    <t xml:space="preserve">Vulnerable Conf.
(MVC)</t>
  </si>
  <si>
    <t xml:space="preserve">Vulnerable Integ.
(MVI)</t>
  </si>
  <si>
    <t xml:space="preserve">Vulnerable Avail.
(MVA)</t>
  </si>
  <si>
    <t xml:space="preserve">Subsequent Conf. 
(MSC)</t>
  </si>
  <si>
    <t xml:space="preserve">Subsequent Integ.
(MSI)</t>
  </si>
  <si>
    <t xml:space="preserve">Subsequent Avail. 
(MSA)</t>
  </si>
  <si>
    <t xml:space="preserve">CVSS-BE Value</t>
  </si>
  <si>
    <t xml:space="preserve">CVSS-BE String</t>
  </si>
  <si>
    <t xml:space="preserve">Safety
(S)</t>
  </si>
  <si>
    <t xml:space="preserve">Safety Risk Identifiers</t>
  </si>
  <si>
    <t xml:space="preserve">AV:L/AC:L/AT:P/PR:L/UI:P/VC:H/VI:L/VA:L/SC:L/SI:L/SA:L</t>
  </si>
  <si>
    <t xml:space="preserve">Base Finding</t>
  </si>
  <si>
    <t xml:space="preserve">Attack Surface Group</t>
  </si>
  <si>
    <t xml:space="preserve">Environmental Group</t>
  </si>
  <si>
    <t xml:space="preserve">CWSS Subscores &amp; Final Ratings</t>
  </si>
  <si>
    <t xml:space="preserve">STRIDE</t>
  </si>
  <si>
    <t xml:space="preserve">Identification Date</t>
  </si>
  <si>
    <t xml:space="preserve">Technical Impact
(TI)</t>
  </si>
  <si>
    <t xml:space="preserve">Internal Control Effectiveness
(IC)</t>
  </si>
  <si>
    <t xml:space="preserve">Acquired Privilege
(AP)</t>
  </si>
  <si>
    <t xml:space="preserve">Acquired Privilege Layer
(AL)</t>
  </si>
  <si>
    <t xml:space="preserve">Finding Confidence
(FC)</t>
  </si>
  <si>
    <t xml:space="preserve">Access Vector
(AV)</t>
  </si>
  <si>
    <t xml:space="preserve">Required Privilege
(RP)</t>
  </si>
  <si>
    <t xml:space="preserve">Required Privilege Layer
(RL)</t>
  </si>
  <si>
    <t xml:space="preserve">Deployment Scope
(SC)</t>
  </si>
  <si>
    <t xml:space="preserve">Level of Interaction
(IN)</t>
  </si>
  <si>
    <t xml:space="preserve">Authentication Strength
(AS)</t>
  </si>
  <si>
    <t xml:space="preserve">Business Impact
(BI)</t>
  </si>
  <si>
    <t xml:space="preserve">Likelihood of Discovery
(DI)</t>
  </si>
  <si>
    <t xml:space="preserve">Likelihood of Exploit
(EX)</t>
  </si>
  <si>
    <t xml:space="preserve">Weakness Prevalence
(P)</t>
  </si>
  <si>
    <t xml:space="preserve">Environmental Control Effectiveness
(EC)</t>
  </si>
  <si>
    <t xml:space="preserve">Base Finding Subscore</t>
  </si>
  <si>
    <t xml:space="preserve">Attack Surface Subscore</t>
  </si>
  <si>
    <t xml:space="preserve">Environmental Subscore</t>
  </si>
  <si>
    <t xml:space="preserve">CWSS Final Score</t>
  </si>
  <si>
    <t xml:space="preserve">CWSS Severity Rating</t>
  </si>
  <si>
    <t xml:space="preserve">CWE-79</t>
  </si>
  <si>
    <t xml:space="preserve">Threat Model</t>
  </si>
  <si>
    <t xml:space="preserve">Tampering (T)</t>
  </si>
  <si>
    <t xml:space="preserve">Administrator</t>
  </si>
  <si>
    <t xml:space="preserve">Enterprise</t>
  </si>
  <si>
    <t xml:space="preserve">Proven</t>
  </si>
  <si>
    <t xml:space="preserve">Internet</t>
  </si>
  <si>
    <t xml:space="preserve">All</t>
  </si>
  <si>
    <t xml:space="preserve">Active</t>
  </si>
  <si>
    <t xml:space="preserve">Widespread</t>
  </si>
  <si>
    <t xml:space="preserve">CWE-89</t>
  </si>
  <si>
    <t xml:space="preserve">Code Scan</t>
  </si>
  <si>
    <t xml:space="preserve">Information Disclosure (I)</t>
  </si>
  <si>
    <t xml:space="preserve">Mitigated</t>
  </si>
  <si>
    <t xml:space="preserve">Infrastructure</t>
  </si>
  <si>
    <t xml:space="preserve">Regular User</t>
  </si>
  <si>
    <t xml:space="preserve">Weak</t>
  </si>
  <si>
    <t xml:space="preserve">Proof of Concept</t>
  </si>
  <si>
    <t xml:space="preserve">Common</t>
  </si>
  <si>
    <t xml:space="preserve">Partial</t>
  </si>
  <si>
    <t xml:space="preserve">CWE-20</t>
  </si>
  <si>
    <t xml:space="preserve">Plausible</t>
  </si>
  <si>
    <t xml:space="preserve">System</t>
  </si>
  <si>
    <t xml:space="preserve">Intranet</t>
  </si>
  <si>
    <t xml:space="preserve">Default</t>
  </si>
  <si>
    <t xml:space="preserve">Limited / Standard</t>
  </si>
  <si>
    <t xml:space="preserve">Strong</t>
  </si>
  <si>
    <t xml:space="preserve">Theoretical</t>
  </si>
  <si>
    <t xml:space="preserve">Occasional</t>
  </si>
  <si>
    <t xml:space="preserve">Significant</t>
  </si>
  <si>
    <t xml:space="preserve">CWE-306</t>
  </si>
  <si>
    <t xml:space="preserve">Application</t>
  </si>
  <si>
    <t xml:space="preserve">True</t>
  </si>
  <si>
    <t xml:space="preserve">Local</t>
  </si>
  <si>
    <t xml:space="preserve">Non-default</t>
  </si>
  <si>
    <t xml:space="preserve">Opportunistic</t>
  </si>
  <si>
    <t xml:space="preserve">Rare</t>
  </si>
  <si>
    <t xml:space="preserve">CWE-200</t>
  </si>
  <si>
    <t xml:space="preserve">Network</t>
  </si>
  <si>
    <t xml:space="preserve">Potential</t>
  </si>
  <si>
    <t xml:space="preserve">Physical</t>
  </si>
  <si>
    <t xml:space="preserve">CWE-434</t>
  </si>
  <si>
    <t xml:space="preserve">CWE-287</t>
  </si>
  <si>
    <t xml:space="preserve">Unknown</t>
  </si>
  <si>
    <t xml:space="preserve">CWE-119</t>
  </si>
  <si>
    <t xml:space="preserve">CWE-502</t>
  </si>
  <si>
    <t xml:space="preserve">CWE-78</t>
  </si>
  <si>
    <t xml:space="preserve">Recognized</t>
  </si>
  <si>
    <t xml:space="preserve">Code</t>
  </si>
  <si>
    <t xml:space="preserve">Description</t>
  </si>
  <si>
    <t xml:space="preserve">Drop-Down</t>
  </si>
  <si>
    <t xml:space="preserve">Y</t>
  </si>
  <si>
    <t xml:space="preserve">Yes</t>
  </si>
  <si>
    <t xml:space="preserve">N</t>
  </si>
  <si>
    <t xml:space="preserve">No</t>
  </si>
  <si>
    <t xml:space="preserve">S</t>
  </si>
  <si>
    <t xml:space="preserve">Spoofing</t>
  </si>
  <si>
    <t xml:space="preserve">T</t>
  </si>
  <si>
    <t xml:space="preserve">Tampering</t>
  </si>
  <si>
    <t xml:space="preserve">R</t>
  </si>
  <si>
    <t xml:space="preserve">Repudiation</t>
  </si>
  <si>
    <t xml:space="preserve">I</t>
  </si>
  <si>
    <t xml:space="preserve">Information Disclosure</t>
  </si>
  <si>
    <t xml:space="preserve">D</t>
  </si>
  <si>
    <t xml:space="preserve">Denial of Service</t>
  </si>
  <si>
    <t xml:space="preserve">E</t>
  </si>
  <si>
    <t xml:space="preserve">Elevation of Privilege</t>
  </si>
  <si>
    <t xml:space="preserve">Base</t>
  </si>
  <si>
    <t xml:space="preserve">Supplemental</t>
  </si>
  <si>
    <t xml:space="preserve">X</t>
  </si>
  <si>
    <t xml:space="preserve">Not Defined</t>
  </si>
  <si>
    <t xml:space="preserve">A</t>
  </si>
  <si>
    <t xml:space="preserve">Adjacent</t>
  </si>
  <si>
    <t xml:space="preserve">L</t>
  </si>
  <si>
    <t xml:space="preserve">P</t>
  </si>
  <si>
    <t xml:space="preserve">Present</t>
  </si>
  <si>
    <t xml:space="preserve">Automatable (A)</t>
  </si>
  <si>
    <t xml:space="preserve">H</t>
  </si>
  <si>
    <t xml:space="preserve">Recovery (R)</t>
  </si>
  <si>
    <t xml:space="preserve">Automatic</t>
  </si>
  <si>
    <t xml:space="preserve">U</t>
  </si>
  <si>
    <t xml:space="preserve">User</t>
  </si>
  <si>
    <t xml:space="preserve">Privileges Required (PR)</t>
  </si>
  <si>
    <t xml:space="preserve">Irrecoverable</t>
  </si>
  <si>
    <t xml:space="preserve">Value Density (V)</t>
  </si>
  <si>
    <t xml:space="preserve">Diffuse</t>
  </si>
  <si>
    <t xml:space="preserve">User Interaction (UI)</t>
  </si>
  <si>
    <t xml:space="preserve">Concentrated</t>
  </si>
  <si>
    <t xml:space="preserve">Response Effort (RE)</t>
  </si>
  <si>
    <t xml:space="preserve">Passive</t>
  </si>
  <si>
    <t xml:space="preserve">Vulnerable Conf. (VC)</t>
  </si>
  <si>
    <t xml:space="preserve">M</t>
  </si>
  <si>
    <t xml:space="preserve">Provider Urgency (U)</t>
  </si>
  <si>
    <t xml:space="preserve">Vulnerable Integ. (VI)</t>
  </si>
  <si>
    <t xml:space="preserve">Clear</t>
  </si>
  <si>
    <t xml:space="preserve">Low / None</t>
  </si>
  <si>
    <t xml:space="preserve">Green</t>
  </si>
  <si>
    <t xml:space="preserve">Moderate Urgency</t>
  </si>
  <si>
    <t xml:space="preserve">Amber</t>
  </si>
  <si>
    <t xml:space="preserve">High Urgency</t>
  </si>
  <si>
    <t xml:space="preserve">Red</t>
  </si>
  <si>
    <t xml:space="preserve">Critical  / Immediate</t>
  </si>
  <si>
    <t xml:space="preserve">Vulnerable Avail. (VA)</t>
  </si>
  <si>
    <t xml:space="preserve">Subsequent Conf. (SC)</t>
  </si>
  <si>
    <t xml:space="preserve">Subsequent Integ. (SI)</t>
  </si>
  <si>
    <t xml:space="preserve">Subsequent Avail. (SA)</t>
  </si>
  <si>
    <t xml:space="preserve">Attacked</t>
  </si>
  <si>
    <t xml:space="preserve">Unreported</t>
  </si>
  <si>
    <t xml:space="preserve">Modified Subsequent Integ. (SI)</t>
  </si>
  <si>
    <t xml:space="preserve">Safety</t>
  </si>
  <si>
    <t xml:space="preserve">Modified Subsequent Avail. (SA)</t>
  </si>
  <si>
    <t xml:space="preserve">Technical Impact (TI)</t>
  </si>
  <si>
    <t xml:space="preserve">Weight</t>
  </si>
  <si>
    <t xml:space="preserve">C</t>
  </si>
  <si>
    <t xml:space="preserve">Internal Control Effectiveness (IC)</t>
  </si>
  <si>
    <t xml:space="preserve">Access Vector (AV)</t>
  </si>
  <si>
    <t xml:space="preserve">W</t>
  </si>
  <si>
    <t xml:space="preserve">Private Network</t>
  </si>
  <si>
    <t xml:space="preserve">Authentication Required (AU)</t>
  </si>
  <si>
    <t xml:space="preserve">Single Instance</t>
  </si>
  <si>
    <t xml:space="preserve">Multiple Instances</t>
  </si>
  <si>
    <t xml:space="preserve">Level of Privilege (AP)</t>
  </si>
  <si>
    <t xml:space="preserve">Required Privilege (RP)</t>
  </si>
  <si>
    <t xml:space="preserve">Business Impact (BI)</t>
  </si>
  <si>
    <t xml:space="preserve">Likelihood of Discovery (DI)</t>
  </si>
  <si>
    <t xml:space="preserve">Remediation Effort (RE)</t>
  </si>
  <si>
    <t xml:space="preserve">Universal</t>
  </si>
  <si>
    <t xml:space="preserve">Acquired Privilege Layer (AL)</t>
  </si>
  <si>
    <t xml:space="preserve">UK</t>
  </si>
  <si>
    <t xml:space="preserve">NA</t>
  </si>
  <si>
    <t xml:space="preserve">Not Applicable</t>
  </si>
  <si>
    <t xml:space="preserve">Finding Confidence (FC)</t>
  </si>
  <si>
    <t xml:space="preserve">PR</t>
  </si>
  <si>
    <t xml:space="preserve">PL</t>
  </si>
  <si>
    <t xml:space="preserve">Proven Locally</t>
  </si>
  <si>
    <t xml:space="preserve">PO</t>
  </si>
  <si>
    <t xml:space="preserve">PF</t>
  </si>
  <si>
    <t xml:space="preserve">Proven False</t>
  </si>
  <si>
    <t xml:space="preserve">Required Privilege Layer (RL)</t>
  </si>
  <si>
    <t xml:space="preserve">Deployment Scope (SC)</t>
  </si>
  <si>
    <t xml:space="preserve">Non-Default</t>
  </si>
  <si>
    <t xml:space="preserve">DF</t>
  </si>
  <si>
    <t xml:space="preserve">Level of Interaction (IN)</t>
  </si>
  <si>
    <t xml:space="preserve">O</t>
  </si>
  <si>
    <t xml:space="preserve">Authentication Strength (AS)</t>
  </si>
  <si>
    <t xml:space="preserve">Likelihood of Exploit (EX)</t>
  </si>
  <si>
    <t xml:space="preserve">Weakness Prevalence (P)</t>
  </si>
  <si>
    <t xml:space="preserve">Environmental Control Effectiveness (EC)</t>
  </si>
  <si>
    <t xml:space="preserve">Ratio</t>
  </si>
  <si>
    <t xml:space="preserve">AV</t>
  </si>
  <si>
    <t xml:space="preserve">MAV</t>
  </si>
  <si>
    <t xml:space="preserve">Physical (P)</t>
  </si>
  <si>
    <t xml:space="preserve">Local (L)</t>
  </si>
  <si>
    <t xml:space="preserve">Adjacent (A)</t>
  </si>
  <si>
    <t xml:space="preserve">Network (N)</t>
  </si>
  <si>
    <t xml:space="preserve">High (H)</t>
  </si>
  <si>
    <t xml:space="preserve">Low (L)</t>
  </si>
</sst>
</file>

<file path=xl/styles.xml><?xml version="1.0" encoding="utf-8"?>
<styleSheet xmlns="http://schemas.openxmlformats.org/spreadsheetml/2006/main">
  <numFmts count="8">
    <numFmt numFmtId="164" formatCode="General"/>
    <numFmt numFmtId="165" formatCode="General"/>
    <numFmt numFmtId="166" formatCode="0.0"/>
    <numFmt numFmtId="167" formatCode="0.00%"/>
    <numFmt numFmtId="168" formatCode="0.00"/>
    <numFmt numFmtId="169" formatCode="@"/>
    <numFmt numFmtId="170" formatCode="0.0%"/>
    <numFmt numFmtId="171" formatCode="0%"/>
  </numFmts>
  <fonts count="18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0"/>
      <name val="Arial"/>
      <family val="2"/>
      <charset val="1"/>
    </font>
    <font>
      <b val="true"/>
      <sz val="16"/>
      <name val="Arial"/>
      <family val="2"/>
      <charset val="1"/>
    </font>
    <font>
      <b val="true"/>
      <sz val="14"/>
      <name val="Arial"/>
      <family val="2"/>
      <charset val="1"/>
    </font>
    <font>
      <b val="true"/>
      <i val="true"/>
      <sz val="10"/>
      <name val="Arial"/>
      <family val="2"/>
      <charset val="1"/>
    </font>
    <font>
      <b val="true"/>
      <sz val="12"/>
      <name val="Arial"/>
      <family val="2"/>
      <charset val="1"/>
    </font>
    <font>
      <i val="true"/>
      <sz val="10"/>
      <name val="Arial"/>
      <family val="2"/>
      <charset val="1"/>
    </font>
    <font>
      <b val="true"/>
      <sz val="14"/>
      <color rgb="FF000000"/>
      <name val="Arial"/>
      <family val="2"/>
      <charset val="1"/>
    </font>
    <font>
      <b val="true"/>
      <sz val="14"/>
      <color rgb="FFFFFFFF"/>
      <name val="Arial"/>
      <family val="2"/>
      <charset val="1"/>
    </font>
    <font>
      <sz val="14"/>
      <name val="Arial"/>
      <family val="2"/>
      <charset val="1"/>
    </font>
    <font>
      <b val="true"/>
      <sz val="10"/>
      <color rgb="FF000000"/>
      <name val="Arial"/>
      <family val="2"/>
      <charset val="1"/>
    </font>
    <font>
      <b val="true"/>
      <sz val="11"/>
      <color rgb="FFFFFFFF"/>
      <name val="Segoe UI"/>
      <family val="0"/>
      <charset val="1"/>
    </font>
    <font>
      <b val="true"/>
      <sz val="11"/>
      <color rgb="FF1C3144"/>
      <name val="Segoe UI"/>
      <family val="0"/>
      <charset val="1"/>
    </font>
    <font>
      <sz val="10"/>
      <color rgb="FF000000"/>
      <name val="Segoe UI"/>
      <family val="0"/>
      <charset val="1"/>
    </font>
    <font>
      <sz val="11"/>
      <name val="Segoe UI"/>
      <family val="0"/>
      <charset val="1"/>
    </font>
  </fonts>
  <fills count="24">
    <fill>
      <patternFill patternType="none"/>
    </fill>
    <fill>
      <patternFill patternType="gray125"/>
    </fill>
    <fill>
      <patternFill patternType="solid">
        <fgColor rgb="FF999999"/>
        <bgColor rgb="FF81ACA6"/>
      </patternFill>
    </fill>
    <fill>
      <patternFill patternType="solid">
        <fgColor rgb="FF729FCF"/>
        <bgColor rgb="FF81ACA6"/>
      </patternFill>
    </fill>
    <fill>
      <patternFill patternType="solid">
        <fgColor rgb="FFB2B2B2"/>
        <bgColor rgb="FFB7B3CA"/>
      </patternFill>
    </fill>
    <fill>
      <patternFill patternType="solid">
        <fgColor rgb="FFB4C7DC"/>
        <bgColor rgb="FFADCBE3"/>
      </patternFill>
    </fill>
    <fill>
      <patternFill patternType="solid">
        <fgColor rgb="FF000000"/>
        <bgColor rgb="FF003300"/>
      </patternFill>
    </fill>
    <fill>
      <patternFill patternType="solid">
        <fgColor rgb="FFB7B3CA"/>
        <bgColor rgb="FFB2B2B2"/>
      </patternFill>
    </fill>
    <fill>
      <patternFill patternType="solid">
        <fgColor rgb="FFE0C2CD"/>
        <bgColor rgb="FFCCCCCC"/>
      </patternFill>
    </fill>
    <fill>
      <patternFill patternType="solid">
        <fgColor rgb="FFFFDBB6"/>
        <bgColor rgb="FFFFCCCC"/>
      </patternFill>
    </fill>
    <fill>
      <patternFill patternType="solid">
        <fgColor rgb="FFDDDDDD"/>
        <bgColor rgb="FFDEDCE6"/>
      </patternFill>
    </fill>
    <fill>
      <patternFill patternType="solid">
        <fgColor rgb="FFFFF5CE"/>
        <bgColor rgb="FFF5F7FA"/>
      </patternFill>
    </fill>
    <fill>
      <patternFill patternType="solid">
        <fgColor rgb="FFDEDCE6"/>
        <bgColor rgb="FFDDDDDD"/>
      </patternFill>
    </fill>
    <fill>
      <patternFill patternType="solid">
        <fgColor rgb="FFDDDD79"/>
        <bgColor rgb="FFFFDBB6"/>
      </patternFill>
    </fill>
    <fill>
      <patternFill patternType="solid">
        <fgColor rgb="FFECBFFF"/>
        <bgColor rgb="FFE0C2CD"/>
      </patternFill>
    </fill>
    <fill>
      <patternFill patternType="solid">
        <fgColor rgb="FFA8C7DA"/>
        <bgColor rgb="FFADCBE3"/>
      </patternFill>
    </fill>
    <fill>
      <patternFill patternType="solid">
        <fgColor rgb="FFA8DAA8"/>
        <bgColor rgb="FFAFD095"/>
      </patternFill>
    </fill>
    <fill>
      <patternFill patternType="solid">
        <fgColor rgb="FF333333"/>
        <bgColor rgb="FF1C3144"/>
      </patternFill>
    </fill>
    <fill>
      <patternFill patternType="solid">
        <fgColor rgb="FFCCCCCC"/>
        <bgColor rgb="FFD1D5DB"/>
      </patternFill>
    </fill>
    <fill>
      <patternFill patternType="solid">
        <fgColor rgb="FFAFD095"/>
        <bgColor rgb="FFA8DAA8"/>
      </patternFill>
    </fill>
    <fill>
      <patternFill patternType="solid">
        <fgColor rgb="FF4B86B4"/>
        <bgColor rgb="FF729FCF"/>
      </patternFill>
    </fill>
    <fill>
      <patternFill patternType="solid">
        <fgColor rgb="FFADCBE3"/>
        <bgColor rgb="FFA8C7DA"/>
      </patternFill>
    </fill>
    <fill>
      <patternFill patternType="solid">
        <fgColor rgb="FFF5F7FA"/>
        <bgColor rgb="FFFFFFFF"/>
      </patternFill>
    </fill>
    <fill>
      <patternFill patternType="solid">
        <fgColor rgb="FF666666"/>
        <bgColor rgb="FF808080"/>
      </patternFill>
    </fill>
  </fills>
  <borders count="6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 style="thin"/>
      <top style="medium"/>
      <bottom style="thin"/>
      <diagonal/>
    </border>
    <border diagonalUp="false" diagonalDown="false">
      <left style="thin">
        <color rgb="FFD1D5DB"/>
      </left>
      <right style="thin">
        <color rgb="FFD1D5DB"/>
      </right>
      <top style="thin">
        <color rgb="FFD1D5DB"/>
      </top>
      <bottom style="medium">
        <color rgb="FF2A4D69"/>
      </bottom>
      <diagonal/>
    </border>
    <border diagonalUp="false" diagonalDown="false">
      <left style="thin">
        <color rgb="FFD1D5DB"/>
      </left>
      <right style="thin">
        <color rgb="FFD1D5DB"/>
      </right>
      <top style="thin">
        <color rgb="FFD1D5DB"/>
      </top>
      <bottom style="thin">
        <color rgb="FFD1D5DB"/>
      </bottom>
      <diagonal/>
    </border>
    <border diagonalUp="false" diagonalDown="false">
      <left/>
      <right style="thin">
        <color rgb="FFD1D5DB"/>
      </right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116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2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4" fillId="3" borderId="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5" fillId="0" borderId="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4" fillId="0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4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6" fillId="5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4" borderId="0" xfId="0" applyFont="fals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0" fillId="6" borderId="0" xfId="0" applyFont="fals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4" fillId="7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7" fillId="8" borderId="1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5" fontId="0" fillId="0" borderId="1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0" fillId="0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0" fillId="4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0" fillId="4" borderId="0" xfId="0" applyFont="fals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8" fillId="5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4" fillId="5" borderId="1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4" fontId="4" fillId="5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4" fillId="9" borderId="1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4" fillId="9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true">
      <alignment horizontal="general" vertical="bottom" textRotation="0" wrapText="true" indent="0" shrinkToFit="false"/>
      <protection locked="true" hidden="false"/>
    </xf>
    <xf numFmtId="164" fontId="0" fillId="0" borderId="0" xfId="0" applyFont="false" applyBorder="false" applyAlignment="true" applyProtection="true">
      <alignment horizontal="left" vertical="bottom" textRotation="0" wrapText="false" indent="0" shrinkToFit="false"/>
      <protection locked="true" hidden="false"/>
    </xf>
    <xf numFmtId="164" fontId="0" fillId="2" borderId="0" xfId="0" applyFont="false" applyBorder="false" applyAlignment="true" applyProtection="true">
      <alignment horizontal="left" vertical="bottom" textRotation="0" wrapText="false" indent="0" shrinkToFit="false"/>
      <protection locked="true" hidden="false"/>
    </xf>
    <xf numFmtId="164" fontId="0" fillId="5" borderId="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10" borderId="1" xfId="0" applyFont="true" applyBorder="true" applyAlignment="true" applyProtection="true">
      <alignment horizontal="left" vertical="center" textRotation="0" wrapText="false" indent="1" shrinkToFit="false"/>
      <protection locked="true" hidden="false"/>
    </xf>
    <xf numFmtId="164" fontId="0" fillId="11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7" fillId="10" borderId="1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4" fillId="10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10" borderId="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10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1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4" fillId="6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6" borderId="1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0" fillId="6" borderId="1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8" fillId="5" borderId="1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4" fillId="0" borderId="1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9" fillId="0" borderId="0" xfId="0" applyFont="true" applyBorder="false" applyAlignment="true" applyProtection="true">
      <alignment horizontal="left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true">
      <alignment horizontal="left" vertical="bottom" textRotation="0" wrapText="false" indent="0" shrinkToFit="false"/>
      <protection locked="true" hidden="false"/>
    </xf>
    <xf numFmtId="164" fontId="8" fillId="0" borderId="0" xfId="0" applyFont="true" applyBorder="false" applyAlignment="true" applyProtection="true">
      <alignment horizontal="left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center" vertical="bottom" textRotation="0" wrapText="false" indent="0" shrinkToFit="false"/>
      <protection locked="false" hidden="false"/>
    </xf>
    <xf numFmtId="164" fontId="0" fillId="0" borderId="0" xfId="0" applyFont="false" applyBorder="false" applyAlignment="true" applyProtection="true">
      <alignment horizontal="left" vertical="bottom" textRotation="0" wrapText="false" indent="0" shrinkToFit="false"/>
      <protection locked="false" hidden="false"/>
    </xf>
    <xf numFmtId="164" fontId="0" fillId="0" borderId="0" xfId="0" applyFont="false" applyBorder="true" applyAlignment="true" applyProtection="true">
      <alignment horizontal="left" vertical="bottom" textRotation="0" wrapText="false" indent="0" shrinkToFit="false"/>
      <protection locked="fals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0" fillId="0" borderId="0" xfId="0" applyFont="false" applyBorder="true" applyAlignment="true" applyProtection="true">
      <alignment horizontal="center" vertical="bottom" textRotation="0" wrapText="true" indent="0" shrinkToFit="false"/>
      <protection locked="false" hidden="false"/>
    </xf>
    <xf numFmtId="164" fontId="0" fillId="0" borderId="0" xfId="0" applyFont="fals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6" fillId="5" borderId="1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10" fillId="12" borderId="2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10" fillId="13" borderId="2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5" fontId="10" fillId="14" borderId="0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4" fontId="10" fillId="15" borderId="1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10" fillId="16" borderId="1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4" fontId="11" fillId="17" borderId="1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4" fontId="12" fillId="0" borderId="0" xfId="0" applyFont="tru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4" fillId="5" borderId="1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13" fillId="12" borderId="1" xfId="0" applyFont="true" applyBorder="true" applyAlignment="true" applyProtection="true">
      <alignment horizontal="left" vertical="bottom" textRotation="0" wrapText="false" indent="0" shrinkToFit="false"/>
      <protection locked="false" hidden="false"/>
    </xf>
    <xf numFmtId="164" fontId="13" fillId="12" borderId="1" xfId="0" applyFont="true" applyBorder="true" applyAlignment="true" applyProtection="true">
      <alignment horizontal="center" vertical="bottom" textRotation="0" wrapText="true" indent="0" shrinkToFit="false"/>
      <protection locked="false" hidden="false"/>
    </xf>
    <xf numFmtId="164" fontId="13" fillId="13" borderId="1" xfId="0" applyFont="true" applyBorder="true" applyAlignment="true" applyProtection="true">
      <alignment horizontal="center" vertical="bottom" textRotation="0" wrapText="true" indent="0" shrinkToFit="false"/>
      <protection locked="false" hidden="false"/>
    </xf>
    <xf numFmtId="164" fontId="13" fillId="14" borderId="1" xfId="0" applyFont="true" applyBorder="true" applyAlignment="true" applyProtection="true">
      <alignment horizontal="center" vertical="bottom" textRotation="0" wrapText="true" indent="0" shrinkToFit="false"/>
      <protection locked="false" hidden="false"/>
    </xf>
    <xf numFmtId="164" fontId="13" fillId="15" borderId="1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13" fillId="15" borderId="1" xfId="0" applyFont="true" applyBorder="true" applyAlignment="true" applyProtection="true">
      <alignment horizontal="center" vertical="bottom" textRotation="0" wrapText="true" indent="0" shrinkToFit="false"/>
      <protection locked="false" hidden="false"/>
    </xf>
    <xf numFmtId="164" fontId="13" fillId="16" borderId="1" xfId="0" applyFont="true" applyBorder="true" applyAlignment="true" applyProtection="true">
      <alignment horizontal="center" vertical="bottom" textRotation="0" wrapText="true" indent="0" shrinkToFit="false"/>
      <protection locked="false" hidden="false"/>
    </xf>
    <xf numFmtId="164" fontId="0" fillId="0" borderId="1" xfId="0" applyFont="fals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0" fillId="0" borderId="1" xfId="0" applyFont="false" applyBorder="true" applyAlignment="true" applyProtection="true">
      <alignment horizontal="left" vertical="bottom" textRotation="0" wrapText="false" indent="0" shrinkToFit="false"/>
      <protection locked="false" hidden="false"/>
    </xf>
    <xf numFmtId="164" fontId="0" fillId="0" borderId="1" xfId="0" applyFont="true" applyBorder="true" applyAlignment="true" applyProtection="true">
      <alignment horizontal="left" vertical="bottom" textRotation="0" wrapText="false" indent="0" shrinkToFit="false"/>
      <protection locked="false" hidden="false"/>
    </xf>
    <xf numFmtId="166" fontId="0" fillId="10" borderId="1" xfId="0" applyFont="false" applyBorder="true" applyAlignment="true" applyProtection="true">
      <alignment horizontal="center" vertical="bottom" textRotation="0" wrapText="false" indent="0" shrinkToFit="false"/>
      <protection locked="false" hidden="false"/>
    </xf>
    <xf numFmtId="166" fontId="0" fillId="0" borderId="1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7" fontId="0" fillId="0" borderId="1" xfId="0" applyFont="false" applyBorder="true" applyAlignment="true" applyProtection="true">
      <alignment horizontal="center" vertical="bottom" textRotation="0" wrapText="true" indent="0" shrinkToFit="false"/>
      <protection locked="false" hidden="false"/>
    </xf>
    <xf numFmtId="167" fontId="0" fillId="18" borderId="1" xfId="0" applyFont="false" applyBorder="true" applyAlignment="true" applyProtection="true">
      <alignment horizontal="center" vertical="bottom" textRotation="0" wrapText="true" indent="0" shrinkToFit="false"/>
      <protection locked="false" hidden="false"/>
    </xf>
    <xf numFmtId="166" fontId="0" fillId="0" borderId="1" xfId="0" applyFont="true" applyBorder="true" applyAlignment="true" applyProtection="true">
      <alignment horizontal="center" vertical="bottom" textRotation="0" wrapText="true" indent="0" shrinkToFit="false"/>
      <protection locked="false" hidden="false"/>
    </xf>
    <xf numFmtId="164" fontId="0" fillId="0" borderId="1" xfId="0" applyFont="true" applyBorder="true" applyAlignment="true" applyProtection="true">
      <alignment horizontal="center" vertical="bottom" textRotation="0" wrapText="true" indent="0" shrinkToFit="false"/>
      <protection locked="false" hidden="false"/>
    </xf>
    <xf numFmtId="166" fontId="0" fillId="10" borderId="1" xfId="0" applyFont="false" applyBorder="true" applyAlignment="true" applyProtection="true">
      <alignment horizontal="left" vertical="bottom" textRotation="0" wrapText="false" indent="0" shrinkToFit="false"/>
      <protection locked="false" hidden="false"/>
    </xf>
    <xf numFmtId="164" fontId="0" fillId="0" borderId="1" xfId="0" applyFont="false" applyBorder="true" applyAlignment="true" applyProtection="true">
      <alignment horizontal="center" vertical="bottom" textRotation="0" wrapText="true" indent="0" shrinkToFit="false"/>
      <protection locked="false" hidden="false"/>
    </xf>
    <xf numFmtId="165" fontId="0" fillId="0" borderId="1" xfId="0" applyFont="false" applyBorder="true" applyAlignment="true" applyProtection="true">
      <alignment horizontal="center" vertical="bottom" textRotation="0" wrapText="true" indent="0" shrinkToFit="false"/>
      <protection locked="false" hidden="false"/>
    </xf>
    <xf numFmtId="164" fontId="12" fillId="19" borderId="1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12" fillId="8" borderId="1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12" fillId="9" borderId="1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0" fillId="19" borderId="1" xfId="0" applyFont="true" applyBorder="true" applyAlignment="true" applyProtection="true">
      <alignment horizontal="center" vertical="bottom" textRotation="0" wrapText="true" indent="0" shrinkToFit="false"/>
      <protection locked="false" hidden="false"/>
    </xf>
    <xf numFmtId="164" fontId="0" fillId="8" borderId="1" xfId="0" applyFont="true" applyBorder="true" applyAlignment="true" applyProtection="true">
      <alignment horizontal="center" vertical="bottom" textRotation="0" wrapText="true" indent="0" shrinkToFit="false"/>
      <protection locked="false" hidden="false"/>
    </xf>
    <xf numFmtId="164" fontId="0" fillId="9" borderId="1" xfId="0" applyFont="true" applyBorder="true" applyAlignment="true" applyProtection="true">
      <alignment horizontal="center" vertical="bottom" textRotation="0" wrapText="true" indent="0" shrinkToFit="false"/>
      <protection locked="false" hidden="false"/>
    </xf>
    <xf numFmtId="164" fontId="0" fillId="0" borderId="1" xfId="0" applyFont="fals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0" fillId="0" borderId="1" xfId="0" applyFont="true" applyBorder="true" applyAlignment="true" applyProtection="true">
      <alignment horizontal="left" vertical="center" textRotation="0" wrapText="false" indent="0" shrinkToFit="false"/>
      <protection locked="false" hidden="false"/>
    </xf>
    <xf numFmtId="164" fontId="0" fillId="0" borderId="1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6" fontId="0" fillId="0" borderId="1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8" fontId="0" fillId="10" borderId="1" xfId="0" applyFont="false" applyBorder="true" applyAlignment="true" applyProtection="true">
      <alignment horizontal="center" vertical="center" textRotation="0" wrapText="false" indent="0" shrinkToFit="false"/>
      <protection locked="false" hidden="false"/>
    </xf>
    <xf numFmtId="166" fontId="0" fillId="10" borderId="1" xfId="0" applyFont="fals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0" fillId="0" borderId="1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4" fontId="0" fillId="0" borderId="1" xfId="0" applyFont="false" applyBorder="true" applyAlignment="true" applyProtection="true">
      <alignment horizontal="center" vertical="center" textRotation="0" wrapText="true" indent="0" shrinkToFit="false"/>
      <protection locked="false" hidden="false"/>
    </xf>
    <xf numFmtId="165" fontId="0" fillId="0" borderId="1" xfId="0" applyFont="false" applyBorder="true" applyAlignment="true" applyProtection="true">
      <alignment horizontal="center" vertical="center" textRotation="0" wrapText="true" indent="0" shrinkToFit="false"/>
      <protection locked="false" hidden="false"/>
    </xf>
    <xf numFmtId="164" fontId="0" fillId="0" borderId="0" xfId="0" applyFont="false" applyBorder="false" applyAlignment="true" applyProtection="true">
      <alignment horizontal="general" vertical="center" textRotation="0" wrapText="false" indent="0" shrinkToFit="false"/>
      <protection locked="false" hidden="false"/>
    </xf>
    <xf numFmtId="169" fontId="0" fillId="0" borderId="1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14" fillId="20" borderId="0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5" fillId="21" borderId="3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6" fillId="0" borderId="4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6" fillId="0" borderId="4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16" fillId="22" borderId="4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6" fillId="22" borderId="4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14" fillId="4" borderId="0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4" fillId="20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0" fontId="0" fillId="4" borderId="0" xfId="0" applyFont="false" applyBorder="false" applyAlignment="true" applyProtection="true">
      <alignment horizontal="center" vertical="bottom" textRotation="0" wrapText="false" indent="0" shrinkToFit="false"/>
      <protection locked="true" hidden="false"/>
    </xf>
    <xf numFmtId="171" fontId="0" fillId="4" borderId="0" xfId="0" applyFont="false" applyBorder="false" applyAlignment="true" applyProtection="true">
      <alignment horizontal="center" vertical="bottom" textRotation="0" wrapText="false" indent="0" shrinkToFit="false"/>
      <protection locked="true" hidden="false"/>
    </xf>
    <xf numFmtId="166" fontId="16" fillId="0" borderId="4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16" fillId="22" borderId="4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7" fillId="23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0" fillId="4" borderId="0" xfId="0" applyFont="false" applyBorder="false" applyAlignment="true" applyProtection="true">
      <alignment horizontal="left" vertical="bottom" textRotation="0" wrapText="false" indent="0" shrinkToFit="false"/>
      <protection locked="true" hidden="false"/>
    </xf>
    <xf numFmtId="165" fontId="17" fillId="0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1" fontId="0" fillId="0" borderId="1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5" fillId="21" borderId="3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71" fontId="15" fillId="21" borderId="3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6" fillId="0" borderId="1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16" fillId="0" borderId="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4" fillId="20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dxfs count="14">
    <dxf>
      <font>
        <name val="Arial"/>
        <charset val="1"/>
        <family val="2"/>
        <color rgb="FF006600"/>
      </font>
      <fill>
        <patternFill>
          <bgColor rgb="FFCCFFCC"/>
        </patternFill>
      </fill>
    </dxf>
    <dxf>
      <font>
        <name val="Arial"/>
        <charset val="1"/>
        <family val="2"/>
        <color rgb="FFCC0000"/>
      </font>
      <fill>
        <patternFill>
          <bgColor rgb="FFFFCCCC"/>
        </patternFill>
      </fill>
    </dxf>
    <dxf>
      <fill>
        <patternFill patternType="solid">
          <fgColor rgb="FFB4C7DC"/>
          <bgColor rgb="FF000000"/>
        </patternFill>
      </fill>
    </dxf>
    <dxf>
      <fill>
        <patternFill patternType="solid">
          <bgColor rgb="FF000000"/>
        </patternFill>
      </fill>
    </dxf>
    <dxf>
      <fill>
        <patternFill patternType="solid">
          <fgColor rgb="FFDEDCE6"/>
          <bgColor rgb="FF000000"/>
        </patternFill>
      </fill>
    </dxf>
    <dxf>
      <fill>
        <patternFill patternType="solid">
          <fgColor rgb="FF000000"/>
          <bgColor rgb="FF000000"/>
        </patternFill>
      </fill>
    </dxf>
    <dxf>
      <fill>
        <patternFill patternType="solid">
          <fgColor rgb="FFDDDDDD"/>
          <bgColor rgb="FF000000"/>
        </patternFill>
      </fill>
    </dxf>
    <dxf>
      <fill>
        <patternFill patternType="solid">
          <fgColor rgb="FFDDDD79"/>
          <bgColor rgb="FF000000"/>
        </patternFill>
      </fill>
    </dxf>
    <dxf>
      <fill>
        <patternFill patternType="solid">
          <fgColor rgb="FFCCCCCC"/>
          <bgColor rgb="FF000000"/>
        </patternFill>
      </fill>
    </dxf>
    <dxf>
      <fill>
        <patternFill patternType="solid">
          <fgColor rgb="FFECBFFF"/>
          <bgColor rgb="FF000000"/>
        </patternFill>
      </fill>
    </dxf>
    <dxf>
      <fill>
        <patternFill patternType="solid">
          <fgColor rgb="FFA8C7DA"/>
          <bgColor rgb="FF000000"/>
        </patternFill>
      </fill>
    </dxf>
    <dxf>
      <fill>
        <patternFill patternType="solid">
          <fgColor rgb="FFA8DAA8"/>
          <bgColor rgb="FF000000"/>
        </patternFill>
      </fill>
    </dxf>
    <dxf>
      <font>
        <name val="Arial"/>
        <charset val="1"/>
        <family val="2"/>
        <color rgb="FF006600"/>
      </font>
      <fill>
        <patternFill>
          <bgColor rgb="FFCCFFCC"/>
        </patternFill>
      </fill>
    </dxf>
    <dxf>
      <font>
        <name val="Arial"/>
        <charset val="1"/>
        <family val="2"/>
        <color rgb="FFCC0000"/>
      </font>
      <fill>
        <patternFill>
          <bgColor rgb="FFFFCCCC"/>
        </patternFill>
      </fill>
    </dxf>
  </dxfs>
  <colors>
    <indexedColors>
      <rgbColor rgb="FF000000"/>
      <rgbColor rgb="FFFFFFFF"/>
      <rgbColor rgb="FFCC0000"/>
      <rgbColor rgb="FF00FF00"/>
      <rgbColor rgb="FF0000FF"/>
      <rgbColor rgb="FFFFCCCC"/>
      <rgbColor rgb="FFFF00FF"/>
      <rgbColor rgb="FF00FFFF"/>
      <rgbColor rgb="FF800000"/>
      <rgbColor rgb="FF006600"/>
      <rgbColor rgb="FF000080"/>
      <rgbColor rgb="FFA8C7DA"/>
      <rgbColor rgb="FF800080"/>
      <rgbColor rgb="FF008080"/>
      <rgbColor rgb="FFB7B3CA"/>
      <rgbColor rgb="FF808080"/>
      <rgbColor rgb="FF729FCF"/>
      <rgbColor rgb="FF993366"/>
      <rgbColor rgb="FFFFF5CE"/>
      <rgbColor rgb="FFF5F7FA"/>
      <rgbColor rgb="FF660066"/>
      <rgbColor rgb="FFB2B2B2"/>
      <rgbColor rgb="FF0066CC"/>
      <rgbColor rgb="FFD1D5DB"/>
      <rgbColor rgb="FF000080"/>
      <rgbColor rgb="FFFF00FF"/>
      <rgbColor rgb="FFA8DAA8"/>
      <rgbColor rgb="FF00FFFF"/>
      <rgbColor rgb="FF800080"/>
      <rgbColor rgb="FF800000"/>
      <rgbColor rgb="FF008080"/>
      <rgbColor rgb="FF0000FF"/>
      <rgbColor rgb="FFB4C7DC"/>
      <rgbColor rgb="FFDEDCE6"/>
      <rgbColor rgb="FFCCFFCC"/>
      <rgbColor rgb="FFDDDD79"/>
      <rgbColor rgb="FFADCBE3"/>
      <rgbColor rgb="FFE0C2CD"/>
      <rgbColor rgb="FFECBFFF"/>
      <rgbColor rgb="FFFFDBB6"/>
      <rgbColor rgb="FF3366FF"/>
      <rgbColor rgb="FF81ACA6"/>
      <rgbColor rgb="FF81D41A"/>
      <rgbColor rgb="FFAFD095"/>
      <rgbColor rgb="FFCCCCCC"/>
      <rgbColor rgb="FFDDDDDD"/>
      <rgbColor rgb="FF666666"/>
      <rgbColor rgb="FF999999"/>
      <rgbColor rgb="FF1C3144"/>
      <rgbColor rgb="FF4B86B4"/>
      <rgbColor rgb="FF003300"/>
      <rgbColor rgb="FF333300"/>
      <rgbColor rgb="FF993300"/>
      <rgbColor rgb="FF993366"/>
      <rgbColor rgb="FF2A4D6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worksheet" Target="worksheets/sheet7.xml"/><Relationship Id="rId10" Type="http://schemas.openxmlformats.org/officeDocument/2006/relationships/worksheet" Target="worksheets/sheet8.xml"/><Relationship Id="rId11" Type="http://schemas.openxmlformats.org/officeDocument/2006/relationships/worksheet" Target="worksheets/sheet9.xml"/><Relationship Id="rId12" Type="http://schemas.openxmlformats.org/officeDocument/2006/relationships/worksheet" Target="worksheets/sheet10.xml"/><Relationship Id="rId13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theme/theme1.xml><?xml version="1.0" encoding="utf-8"?>
<a:theme xmlns:a="http://schemas.openxmlformats.org/drawingml/2006/main" xmlns:r="http://schemas.openxmlformats.org/officeDocument/2006/relationships" name="Offic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5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FFFFFF"/>
    <pageSetUpPr fitToPage="false"/>
  </sheetPr>
  <dimension ref="A1:E1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1.53515625" defaultRowHeight="12.8" zeroHeight="false" outlineLevelRow="0" outlineLevelCol="0"/>
  <cols>
    <col collapsed="false" customWidth="true" hidden="false" outlineLevel="0" max="4" min="4" style="1" width="47.6"/>
  </cols>
  <sheetData>
    <row r="1" customFormat="false" ht="12.8" hidden="false" customHeight="false" outlineLevel="0" collapsed="false">
      <c r="A1" s="2"/>
      <c r="B1" s="2"/>
      <c r="C1" s="2"/>
      <c r="D1" s="2"/>
      <c r="E1" s="2"/>
    </row>
    <row r="2" customFormat="false" ht="17.4" hidden="false" customHeight="true" outlineLevel="0" collapsed="false">
      <c r="A2" s="2"/>
      <c r="B2" s="3" t="s">
        <v>0</v>
      </c>
      <c r="C2" s="3"/>
      <c r="D2" s="3"/>
      <c r="E2" s="2"/>
    </row>
    <row r="3" customFormat="false" ht="19.7" hidden="false" customHeight="false" outlineLevel="0" collapsed="false">
      <c r="A3" s="2"/>
      <c r="B3" s="4" t="s">
        <v>1</v>
      </c>
      <c r="C3" s="4"/>
      <c r="D3" s="4"/>
      <c r="E3" s="2"/>
    </row>
    <row r="4" customFormat="false" ht="12.8" hidden="false" customHeight="false" outlineLevel="0" collapsed="false">
      <c r="A4" s="2"/>
      <c r="B4" s="2"/>
      <c r="C4" s="2"/>
      <c r="D4" s="2"/>
      <c r="E4" s="2"/>
    </row>
    <row r="5" customFormat="false" ht="17.4" hidden="false" customHeight="true" outlineLevel="0" collapsed="false">
      <c r="A5" s="2"/>
      <c r="B5" s="3" t="s">
        <v>2</v>
      </c>
      <c r="C5" s="3"/>
      <c r="D5" s="3"/>
      <c r="E5" s="2"/>
    </row>
    <row r="6" customFormat="false" ht="12.8" hidden="false" customHeight="false" outlineLevel="0" collapsed="false">
      <c r="A6" s="2"/>
      <c r="B6" s="5" t="s">
        <v>3</v>
      </c>
      <c r="C6" s="5" t="s">
        <v>4</v>
      </c>
      <c r="D6" s="5" t="s">
        <v>5</v>
      </c>
      <c r="E6" s="2"/>
    </row>
    <row r="7" customFormat="false" ht="12.8" hidden="false" customHeight="false" outlineLevel="0" collapsed="false">
      <c r="A7" s="2"/>
      <c r="B7" s="6"/>
      <c r="C7" s="6"/>
      <c r="D7" s="6"/>
      <c r="E7" s="2"/>
    </row>
    <row r="8" customFormat="false" ht="12.8" hidden="false" customHeight="false" outlineLevel="0" collapsed="false">
      <c r="A8" s="2"/>
      <c r="B8" s="6"/>
      <c r="C8" s="6"/>
      <c r="D8" s="6"/>
      <c r="E8" s="2"/>
    </row>
    <row r="9" customFormat="false" ht="12.8" hidden="false" customHeight="false" outlineLevel="0" collapsed="false">
      <c r="A9" s="2"/>
      <c r="B9" s="6"/>
      <c r="C9" s="6"/>
      <c r="D9" s="6"/>
      <c r="E9" s="2"/>
    </row>
    <row r="10" customFormat="false" ht="12.8" hidden="false" customHeight="false" outlineLevel="0" collapsed="false">
      <c r="A10" s="2"/>
      <c r="B10" s="6"/>
      <c r="C10" s="6"/>
      <c r="D10" s="6"/>
      <c r="E10" s="2"/>
    </row>
    <row r="11" customFormat="false" ht="12.8" hidden="false" customHeight="false" outlineLevel="0" collapsed="false">
      <c r="A11" s="2"/>
      <c r="B11" s="2"/>
      <c r="C11" s="2"/>
      <c r="D11" s="2"/>
      <c r="E11" s="2"/>
    </row>
  </sheetData>
  <mergeCells count="3">
    <mergeCell ref="B2:D2"/>
    <mergeCell ref="B3:D3"/>
    <mergeCell ref="B5:D5"/>
  </mergeCells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FFFFFF"/>
    <pageSetUpPr fitToPage="false"/>
  </sheetPr>
  <dimension ref="A1:H1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J11" activeCellId="0" sqref="J11"/>
    </sheetView>
  </sheetViews>
  <sheetFormatPr defaultColWidth="11.53515625" defaultRowHeight="12.8" zeroHeight="false" outlineLevelRow="0" outlineLevelCol="0"/>
  <cols>
    <col collapsed="false" customWidth="true" hidden="false" outlineLevel="0" max="2" min="2" style="1" width="18.26"/>
  </cols>
  <sheetData>
    <row r="1" customFormat="false" ht="12.8" hidden="false" customHeight="false" outlineLevel="0" collapsed="false">
      <c r="A1" s="7"/>
      <c r="B1" s="7"/>
      <c r="C1" s="7"/>
      <c r="D1" s="7"/>
      <c r="E1" s="7"/>
      <c r="F1" s="7"/>
      <c r="G1" s="7"/>
      <c r="H1" s="7"/>
    </row>
    <row r="2" customFormat="false" ht="17.35" hidden="false" customHeight="false" outlineLevel="0" collapsed="false">
      <c r="A2" s="7"/>
      <c r="B2" s="8" t="s">
        <v>6</v>
      </c>
      <c r="C2" s="8"/>
      <c r="D2" s="8"/>
      <c r="E2" s="8"/>
      <c r="F2" s="8"/>
      <c r="G2" s="8"/>
      <c r="H2" s="7"/>
    </row>
    <row r="3" s="12" customFormat="true" ht="21.6" hidden="false" customHeight="true" outlineLevel="0" collapsed="false">
      <c r="A3" s="9"/>
      <c r="B3" s="10"/>
      <c r="C3" s="11" t="s">
        <v>7</v>
      </c>
      <c r="D3" s="11" t="s">
        <v>8</v>
      </c>
      <c r="E3" s="11" t="s">
        <v>9</v>
      </c>
      <c r="F3" s="11" t="s">
        <v>10</v>
      </c>
      <c r="G3" s="11" t="s">
        <v>11</v>
      </c>
      <c r="H3" s="9"/>
    </row>
    <row r="4" s="12" customFormat="true" ht="21.6" hidden="false" customHeight="true" outlineLevel="0" collapsed="false">
      <c r="A4" s="9"/>
      <c r="B4" s="13" t="s">
        <v>12</v>
      </c>
      <c r="C4" s="14" t="n">
        <f aca="false">COUNTIF('Risk Assessment (CWSS)'!$AB:$AB,C$3)</f>
        <v>0</v>
      </c>
      <c r="D4" s="14" t="n">
        <f aca="false">COUNTIF('Risk Assessment (CWSS)'!$AB:$AB,D$3)</f>
        <v>0</v>
      </c>
      <c r="E4" s="14" t="n">
        <f aca="false">COUNTIF('Risk Assessment (CWSS)'!$AB:$AB,E$3)</f>
        <v>5</v>
      </c>
      <c r="F4" s="14" t="n">
        <f aca="false">COUNTIF('Risk Assessment (CWSS)'!$AB:$AB,F$3)</f>
        <v>4</v>
      </c>
      <c r="G4" s="14" t="n">
        <f aca="false">COUNTIF('Risk Assessment (CWSS)'!$AB:$AB,G$3)</f>
        <v>1</v>
      </c>
      <c r="H4" s="9"/>
    </row>
    <row r="5" customFormat="false" ht="12.8" hidden="false" customHeight="false" outlineLevel="0" collapsed="false">
      <c r="A5" s="7"/>
      <c r="B5" s="7"/>
      <c r="C5" s="7"/>
      <c r="D5" s="7"/>
      <c r="E5" s="7"/>
      <c r="F5" s="7"/>
      <c r="G5" s="7"/>
      <c r="H5" s="7"/>
    </row>
    <row r="6" customFormat="false" ht="17.35" hidden="false" customHeight="false" outlineLevel="0" collapsed="false">
      <c r="A6" s="7"/>
      <c r="B6" s="8" t="s">
        <v>13</v>
      </c>
      <c r="C6" s="8"/>
      <c r="D6" s="8"/>
      <c r="E6" s="8"/>
      <c r="F6" s="8"/>
      <c r="G6" s="8"/>
      <c r="H6" s="7"/>
    </row>
    <row r="7" s="12" customFormat="true" ht="21.6" hidden="false" customHeight="true" outlineLevel="0" collapsed="false">
      <c r="A7" s="9"/>
      <c r="B7" s="10"/>
      <c r="C7" s="11" t="s">
        <v>7</v>
      </c>
      <c r="D7" s="11" t="s">
        <v>8</v>
      </c>
      <c r="E7" s="11" t="s">
        <v>9</v>
      </c>
      <c r="F7" s="11" t="s">
        <v>10</v>
      </c>
      <c r="G7" s="11" t="s">
        <v>11</v>
      </c>
      <c r="H7" s="9"/>
    </row>
    <row r="8" s="12" customFormat="true" ht="21.6" hidden="false" customHeight="true" outlineLevel="0" collapsed="false">
      <c r="A8" s="9"/>
      <c r="B8" s="13" t="s">
        <v>14</v>
      </c>
      <c r="C8" s="15" t="n">
        <f aca="false">COUNTIF('Risk Assessment (CVSS)'!$I:$I,C$7)</f>
        <v>0</v>
      </c>
      <c r="D8" s="15" t="n">
        <f aca="false">COUNTIF('Risk Assessment (CVSS)'!$I:$I,D$7)</f>
        <v>0</v>
      </c>
      <c r="E8" s="15" t="n">
        <f aca="false">COUNTIF('Risk Assessment (CVSS)'!$I:$I,E$7)</f>
        <v>1</v>
      </c>
      <c r="F8" s="15" t="n">
        <f aca="false">COUNTIF('Risk Assessment (CVSS)'!$I:$I,F$7)</f>
        <v>0</v>
      </c>
      <c r="G8" s="15" t="n">
        <f aca="false">COUNTIF('Risk Assessment (CVSS)'!$I:$I,G$7)</f>
        <v>0</v>
      </c>
      <c r="H8" s="9"/>
    </row>
    <row r="9" s="12" customFormat="true" ht="21.6" hidden="false" customHeight="true" outlineLevel="0" collapsed="false">
      <c r="A9" s="9"/>
      <c r="B9" s="13" t="s">
        <v>15</v>
      </c>
      <c r="C9" s="15" t="n">
        <f aca="false">COUNTIF('Risk Assessment (CVSS)'!$AK:$AK,C$7)</f>
        <v>0</v>
      </c>
      <c r="D9" s="15" t="n">
        <f aca="false">COUNTIF('Risk Assessment (CVSS)'!$AK:$AK,D$7)</f>
        <v>0</v>
      </c>
      <c r="E9" s="15" t="n">
        <f aca="false">COUNTIF('Risk Assessment (CVSS)'!$AK:$AK,E$7)</f>
        <v>1</v>
      </c>
      <c r="F9" s="15" t="n">
        <f aca="false">COUNTIF('Risk Assessment (CVSS)'!$AK:$AK,F$7)</f>
        <v>0</v>
      </c>
      <c r="G9" s="15" t="n">
        <f aca="false">COUNTIF('Risk Assessment (CVSS)'!$AK:$AK,G$7)</f>
        <v>0</v>
      </c>
      <c r="H9" s="9"/>
    </row>
    <row r="10" customFormat="false" ht="12.8" hidden="false" customHeight="false" outlineLevel="0" collapsed="false">
      <c r="A10" s="7"/>
      <c r="B10" s="7"/>
      <c r="C10" s="7"/>
      <c r="D10" s="7"/>
      <c r="E10" s="7"/>
      <c r="F10" s="7"/>
      <c r="G10" s="7"/>
      <c r="H10" s="7"/>
    </row>
  </sheetData>
  <mergeCells count="2">
    <mergeCell ref="B2:G2"/>
    <mergeCell ref="B6:G6"/>
  </mergeCells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81D41A"/>
    <pageSetUpPr fitToPage="false"/>
  </sheetPr>
  <dimension ref="A1:J35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1.53515625" defaultRowHeight="12.8" zeroHeight="false" outlineLevelRow="0" outlineLevelCol="0"/>
  <cols>
    <col collapsed="false" customWidth="true" hidden="false" outlineLevel="0" max="1" min="1" style="12" width="10.85"/>
    <col collapsed="false" customWidth="true" hidden="false" outlineLevel="0" max="3" min="3" style="16" width="9.87"/>
    <col collapsed="false" customWidth="false" hidden="false" outlineLevel="0" max="4" min="4" style="16" width="11.53"/>
    <col collapsed="false" customWidth="true" hidden="false" outlineLevel="0" max="8" min="5" style="1" width="13.75"/>
  </cols>
  <sheetData>
    <row r="1" customFormat="false" ht="12.8" hidden="false" customHeight="false" outlineLevel="0" collapsed="false">
      <c r="A1" s="17"/>
      <c r="B1" s="7"/>
      <c r="C1" s="18"/>
      <c r="D1" s="18"/>
      <c r="E1" s="7"/>
      <c r="F1" s="7"/>
      <c r="G1" s="7"/>
      <c r="H1" s="7"/>
      <c r="I1" s="7"/>
      <c r="J1" s="7"/>
    </row>
    <row r="2" customFormat="false" ht="19.05" hidden="false" customHeight="true" outlineLevel="0" collapsed="false">
      <c r="A2" s="17"/>
      <c r="B2" s="19" t="s">
        <v>16</v>
      </c>
      <c r="C2" s="19"/>
      <c r="D2" s="19"/>
      <c r="E2" s="19"/>
      <c r="F2" s="19"/>
      <c r="G2" s="19"/>
      <c r="H2" s="19"/>
      <c r="I2" s="19"/>
      <c r="J2" s="7"/>
    </row>
    <row r="3" customFormat="false" ht="23.85" hidden="false" customHeight="false" outlineLevel="0" collapsed="false">
      <c r="A3" s="9"/>
      <c r="B3" s="20" t="s">
        <v>17</v>
      </c>
      <c r="C3" s="21" t="s">
        <v>18</v>
      </c>
      <c r="D3" s="21" t="s">
        <v>19</v>
      </c>
      <c r="E3" s="21" t="s">
        <v>20</v>
      </c>
      <c r="F3" s="21" t="s">
        <v>21</v>
      </c>
      <c r="G3" s="21" t="s">
        <v>22</v>
      </c>
      <c r="H3" s="21" t="s">
        <v>23</v>
      </c>
      <c r="I3" s="21" t="s">
        <v>7</v>
      </c>
      <c r="J3" s="7"/>
    </row>
    <row r="4" customFormat="false" ht="18.2" hidden="false" customHeight="true" outlineLevel="0" collapsed="false">
      <c r="A4" s="9"/>
      <c r="B4" s="22" t="s">
        <v>7</v>
      </c>
      <c r="C4" s="23" t="n">
        <v>9</v>
      </c>
      <c r="D4" s="23" t="n">
        <v>90</v>
      </c>
      <c r="E4" s="24" t="s">
        <v>24</v>
      </c>
      <c r="F4" s="24" t="s">
        <v>24</v>
      </c>
      <c r="G4" s="24" t="s">
        <v>24</v>
      </c>
      <c r="H4" s="24" t="s">
        <v>24</v>
      </c>
      <c r="I4" s="24" t="s">
        <v>24</v>
      </c>
      <c r="J4" s="7"/>
    </row>
    <row r="5" customFormat="false" ht="18.2" hidden="false" customHeight="true" outlineLevel="0" collapsed="false">
      <c r="A5" s="9"/>
      <c r="B5" s="22" t="s">
        <v>8</v>
      </c>
      <c r="C5" s="23" t="n">
        <v>7</v>
      </c>
      <c r="D5" s="23" t="n">
        <v>70</v>
      </c>
      <c r="E5" s="24" t="s">
        <v>25</v>
      </c>
      <c r="F5" s="24" t="s">
        <v>24</v>
      </c>
      <c r="G5" s="24" t="s">
        <v>24</v>
      </c>
      <c r="H5" s="24" t="s">
        <v>24</v>
      </c>
      <c r="I5" s="24" t="s">
        <v>24</v>
      </c>
      <c r="J5" s="7"/>
    </row>
    <row r="6" customFormat="false" ht="18.2" hidden="false" customHeight="true" outlineLevel="0" collapsed="false">
      <c r="A6" s="9"/>
      <c r="B6" s="22" t="s">
        <v>9</v>
      </c>
      <c r="C6" s="23" t="n">
        <v>4</v>
      </c>
      <c r="D6" s="23" t="n">
        <v>40</v>
      </c>
      <c r="E6" s="24" t="s">
        <v>25</v>
      </c>
      <c r="F6" s="24" t="s">
        <v>25</v>
      </c>
      <c r="G6" s="24" t="s">
        <v>24</v>
      </c>
      <c r="H6" s="24" t="s">
        <v>24</v>
      </c>
      <c r="I6" s="24" t="s">
        <v>24</v>
      </c>
      <c r="J6" s="7"/>
    </row>
    <row r="7" customFormat="false" ht="18.2" hidden="false" customHeight="true" outlineLevel="0" collapsed="false">
      <c r="A7" s="9"/>
      <c r="B7" s="22" t="s">
        <v>10</v>
      </c>
      <c r="C7" s="23" t="n">
        <v>0.1</v>
      </c>
      <c r="D7" s="23" t="n">
        <v>0.1</v>
      </c>
      <c r="E7" s="24" t="s">
        <v>25</v>
      </c>
      <c r="F7" s="24" t="s">
        <v>25</v>
      </c>
      <c r="G7" s="24" t="s">
        <v>25</v>
      </c>
      <c r="H7" s="24" t="s">
        <v>24</v>
      </c>
      <c r="I7" s="24" t="s">
        <v>24</v>
      </c>
      <c r="J7" s="7"/>
    </row>
    <row r="8" customFormat="false" ht="18.2" hidden="false" customHeight="true" outlineLevel="0" collapsed="false">
      <c r="A8" s="9"/>
      <c r="B8" s="22" t="s">
        <v>11</v>
      </c>
      <c r="C8" s="23" t="n">
        <v>0</v>
      </c>
      <c r="D8" s="23" t="n">
        <v>0</v>
      </c>
      <c r="E8" s="24" t="s">
        <v>25</v>
      </c>
      <c r="F8" s="24" t="s">
        <v>25</v>
      </c>
      <c r="G8" s="24" t="s">
        <v>25</v>
      </c>
      <c r="H8" s="24" t="s">
        <v>25</v>
      </c>
      <c r="I8" s="24" t="s">
        <v>25</v>
      </c>
      <c r="J8" s="7"/>
    </row>
    <row r="9" customFormat="false" ht="12.8" hidden="false" customHeight="false" outlineLevel="0" collapsed="false">
      <c r="A9" s="9"/>
      <c r="B9" s="7"/>
      <c r="C9" s="18"/>
      <c r="D9" s="18"/>
      <c r="E9" s="7"/>
      <c r="F9" s="7"/>
      <c r="G9" s="7"/>
      <c r="H9" s="7"/>
      <c r="I9" s="7"/>
      <c r="J9" s="7"/>
    </row>
    <row r="10" customFormat="false" ht="12.8" hidden="false" customHeight="false" outlineLevel="0" collapsed="false">
      <c r="A10" s="1"/>
      <c r="B10" s="16"/>
      <c r="C10" s="1"/>
      <c r="D10" s="1"/>
    </row>
    <row r="11" customFormat="false" ht="12.8" hidden="false" customHeight="false" outlineLevel="0" collapsed="false">
      <c r="A11" s="1"/>
      <c r="B11" s="16"/>
      <c r="C11" s="1"/>
      <c r="D11" s="1"/>
    </row>
    <row r="12" customFormat="false" ht="12.8" hidden="false" customHeight="false" outlineLevel="0" collapsed="false">
      <c r="A12" s="1"/>
      <c r="B12" s="16"/>
      <c r="C12" s="1"/>
      <c r="D12" s="1"/>
    </row>
    <row r="13" customFormat="false" ht="12.8" hidden="false" customHeight="false" outlineLevel="0" collapsed="false">
      <c r="A13" s="1"/>
      <c r="B13" s="16"/>
      <c r="C13" s="1"/>
      <c r="D13" s="1"/>
    </row>
    <row r="14" customFormat="false" ht="12.8" hidden="false" customHeight="false" outlineLevel="0" collapsed="false">
      <c r="A14" s="1"/>
      <c r="B14" s="16"/>
      <c r="C14" s="1"/>
      <c r="D14" s="1"/>
    </row>
    <row r="21" customFormat="false" ht="12.8" hidden="false" customHeight="false" outlineLevel="0" collapsed="false">
      <c r="A21" s="1"/>
      <c r="B21" s="16"/>
      <c r="C21" s="1"/>
      <c r="D21" s="1"/>
    </row>
    <row r="22" customFormat="false" ht="12.8" hidden="false" customHeight="false" outlineLevel="0" collapsed="false">
      <c r="A22" s="1"/>
      <c r="B22" s="16"/>
      <c r="C22" s="1"/>
      <c r="D22" s="1"/>
    </row>
    <row r="23" customFormat="false" ht="12.8" hidden="false" customHeight="false" outlineLevel="0" collapsed="false">
      <c r="A23" s="1"/>
      <c r="B23" s="16"/>
      <c r="C23" s="1"/>
      <c r="D23" s="1"/>
    </row>
    <row r="31" customFormat="false" ht="12.8" hidden="false" customHeight="false" outlineLevel="0" collapsed="false">
      <c r="A31" s="25"/>
    </row>
    <row r="32" customFormat="false" ht="12.8" hidden="false" customHeight="false" outlineLevel="0" collapsed="false">
      <c r="A32" s="25"/>
    </row>
    <row r="33" customFormat="false" ht="12.8" hidden="false" customHeight="false" outlineLevel="0" collapsed="false">
      <c r="A33" s="25"/>
    </row>
    <row r="34" customFormat="false" ht="12.8" hidden="false" customHeight="false" outlineLevel="0" collapsed="false">
      <c r="A34" s="25"/>
    </row>
    <row r="35" customFormat="false" ht="12.8" hidden="false" customHeight="false" outlineLevel="0" collapsed="false">
      <c r="A35" s="25"/>
    </row>
  </sheetData>
  <mergeCells count="1">
    <mergeCell ref="B2:I2"/>
  </mergeCells>
  <conditionalFormatting sqref="E4:I5 E7:I8 E6 H6:I6">
    <cfRule type="cellIs" priority="2" operator="equal" aboveAverage="0" equalAverage="0" bottom="0" percent="0" rank="0" text="" dxfId="0">
      <formula>"Controlled"</formula>
    </cfRule>
    <cfRule type="cellIs" priority="3" operator="equal" aboveAverage="0" equalAverage="0" bottom="0" percent="0" rank="0" text="" dxfId="1">
      <formula>"Uncontrolled"</formula>
    </cfRule>
  </conditionalFormatting>
  <conditionalFormatting sqref="F6:G6">
    <cfRule type="cellIs" priority="4" operator="equal" aboveAverage="0" equalAverage="0" bottom="0" percent="0" rank="0" text="" dxfId="0">
      <formula>"Controlled"</formula>
    </cfRule>
    <cfRule type="cellIs" priority="5" operator="equal" aboveAverage="0" equalAverage="0" bottom="0" percent="0" rank="0" text="" dxfId="1">
      <formula>"Uncontrolled"</formula>
    </cfRule>
  </conditionalFormatting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729FCF"/>
    <pageSetUpPr fitToPage="false"/>
  </sheetPr>
  <dimension ref="A1:E3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C31" activeCellId="0" sqref="C31"/>
    </sheetView>
  </sheetViews>
  <sheetFormatPr defaultColWidth="11.53515625" defaultRowHeight="12.8" zeroHeight="false" outlineLevelRow="0" outlineLevelCol="0"/>
  <cols>
    <col collapsed="false" customWidth="false" hidden="false" outlineLevel="0" max="2" min="2" style="26" width="11.53"/>
    <col collapsed="false" customWidth="true" hidden="false" outlineLevel="0" max="3" min="3" style="1" width="79.99"/>
  </cols>
  <sheetData>
    <row r="1" customFormat="false" ht="12.8" hidden="false" customHeight="false" outlineLevel="0" collapsed="false">
      <c r="A1" s="2"/>
      <c r="B1" s="27"/>
      <c r="C1" s="2"/>
      <c r="D1" s="2"/>
      <c r="E1" s="2"/>
    </row>
    <row r="2" customFormat="false" ht="15" hidden="false" customHeight="false" outlineLevel="0" collapsed="false">
      <c r="A2" s="2"/>
      <c r="B2" s="19" t="s">
        <v>26</v>
      </c>
      <c r="C2" s="19"/>
      <c r="D2" s="19"/>
      <c r="E2" s="2"/>
    </row>
    <row r="3" customFormat="false" ht="20.85" hidden="false" customHeight="true" outlineLevel="0" collapsed="false">
      <c r="A3" s="2"/>
      <c r="B3" s="28"/>
      <c r="C3" s="29" t="s">
        <v>27</v>
      </c>
      <c r="D3" s="30" t="s">
        <v>28</v>
      </c>
      <c r="E3" s="2"/>
    </row>
    <row r="4" customFormat="false" ht="12.8" hidden="false" customHeight="false" outlineLevel="0" collapsed="false">
      <c r="A4" s="2"/>
      <c r="B4" s="27"/>
      <c r="C4" s="2"/>
      <c r="D4" s="2"/>
      <c r="E4" s="2"/>
    </row>
    <row r="5" customFormat="false" ht="15" hidden="false" customHeight="false" outlineLevel="0" collapsed="false">
      <c r="A5" s="2"/>
      <c r="B5" s="19" t="s">
        <v>29</v>
      </c>
      <c r="C5" s="19"/>
      <c r="D5" s="19"/>
      <c r="E5" s="2"/>
    </row>
    <row r="6" customFormat="false" ht="12.8" hidden="false" customHeight="false" outlineLevel="0" collapsed="false">
      <c r="A6" s="2"/>
      <c r="B6" s="31"/>
      <c r="C6" s="32" t="s">
        <v>30</v>
      </c>
      <c r="D6" s="33" t="s">
        <v>31</v>
      </c>
      <c r="E6" s="2"/>
    </row>
    <row r="7" customFormat="false" ht="35.05" hidden="false" customHeight="false" outlineLevel="0" collapsed="false">
      <c r="A7" s="2"/>
      <c r="B7" s="34" t="s">
        <v>32</v>
      </c>
      <c r="C7" s="35" t="s">
        <v>33</v>
      </c>
      <c r="D7" s="30" t="s">
        <v>28</v>
      </c>
      <c r="E7" s="2"/>
    </row>
    <row r="8" customFormat="false" ht="23.85" hidden="false" customHeight="false" outlineLevel="0" collapsed="false">
      <c r="A8" s="2"/>
      <c r="B8" s="34" t="s">
        <v>34</v>
      </c>
      <c r="C8" s="35" t="s">
        <v>35</v>
      </c>
      <c r="D8" s="30" t="s">
        <v>36</v>
      </c>
      <c r="E8" s="2"/>
    </row>
    <row r="9" customFormat="false" ht="23.85" hidden="false" customHeight="false" outlineLevel="0" collapsed="false">
      <c r="A9" s="2"/>
      <c r="B9" s="34" t="s">
        <v>37</v>
      </c>
      <c r="C9" s="35" t="s">
        <v>38</v>
      </c>
      <c r="D9" s="30" t="s">
        <v>36</v>
      </c>
      <c r="E9" s="2"/>
    </row>
    <row r="10" customFormat="false" ht="7.45" hidden="false" customHeight="true" outlineLevel="0" collapsed="false">
      <c r="A10" s="2"/>
      <c r="B10" s="36"/>
      <c r="C10" s="37"/>
      <c r="D10" s="38"/>
      <c r="E10" s="2"/>
    </row>
    <row r="11" customFormat="false" ht="15" hidden="false" customHeight="false" outlineLevel="0" collapsed="false">
      <c r="A11" s="2"/>
      <c r="B11" s="39" t="s">
        <v>39</v>
      </c>
      <c r="C11" s="39"/>
      <c r="D11" s="39"/>
      <c r="E11" s="2"/>
    </row>
    <row r="12" customFormat="false" ht="33.55" hidden="false" customHeight="true" outlineLevel="0" collapsed="false">
      <c r="A12" s="2"/>
      <c r="B12" s="40" t="s">
        <v>40</v>
      </c>
      <c r="C12" s="40"/>
      <c r="D12" s="40"/>
      <c r="E12" s="2"/>
    </row>
    <row r="13" customFormat="false" ht="15" hidden="false" customHeight="false" outlineLevel="0" collapsed="false">
      <c r="A13" s="2"/>
      <c r="B13" s="39" t="s">
        <v>41</v>
      </c>
      <c r="C13" s="39"/>
      <c r="D13" s="39"/>
      <c r="E13" s="2"/>
    </row>
    <row r="14" customFormat="false" ht="44" hidden="false" customHeight="true" outlineLevel="0" collapsed="false">
      <c r="A14" s="2"/>
      <c r="B14" s="40" t="s">
        <v>42</v>
      </c>
      <c r="C14" s="40"/>
      <c r="D14" s="40"/>
      <c r="E14" s="2"/>
    </row>
    <row r="15" customFormat="false" ht="12.8" hidden="false" customHeight="false" outlineLevel="0" collapsed="false">
      <c r="A15" s="2"/>
      <c r="B15" s="27"/>
      <c r="C15" s="2"/>
      <c r="D15" s="2"/>
      <c r="E15" s="2"/>
    </row>
    <row r="16" customFormat="false" ht="15" hidden="false" customHeight="false" outlineLevel="0" collapsed="false">
      <c r="A16" s="2"/>
      <c r="B16" s="19" t="s">
        <v>43</v>
      </c>
      <c r="C16" s="19"/>
      <c r="D16" s="19"/>
      <c r="E16" s="2"/>
    </row>
    <row r="17" customFormat="false" ht="12.8" hidden="false" customHeight="false" outlineLevel="0" collapsed="false">
      <c r="A17" s="2"/>
      <c r="B17" s="31"/>
      <c r="C17" s="32" t="s">
        <v>30</v>
      </c>
      <c r="D17" s="33" t="s">
        <v>31</v>
      </c>
      <c r="E17" s="2"/>
    </row>
    <row r="18" customFormat="false" ht="35.05" hidden="false" customHeight="false" outlineLevel="0" collapsed="false">
      <c r="A18" s="2"/>
      <c r="B18" s="34" t="s">
        <v>32</v>
      </c>
      <c r="C18" s="35" t="s">
        <v>44</v>
      </c>
      <c r="D18" s="30" t="s">
        <v>28</v>
      </c>
      <c r="E18" s="2"/>
    </row>
    <row r="19" customFormat="false" ht="35.05" hidden="false" customHeight="false" outlineLevel="0" collapsed="false">
      <c r="A19" s="2"/>
      <c r="B19" s="34" t="s">
        <v>37</v>
      </c>
      <c r="C19" s="35" t="s">
        <v>45</v>
      </c>
      <c r="D19" s="30" t="s">
        <v>28</v>
      </c>
      <c r="E19" s="2"/>
    </row>
    <row r="20" customFormat="false" ht="7.45" hidden="false" customHeight="true" outlineLevel="0" collapsed="false">
      <c r="A20" s="2"/>
      <c r="B20" s="36"/>
      <c r="C20" s="37"/>
      <c r="D20" s="38"/>
      <c r="E20" s="2"/>
    </row>
    <row r="21" customFormat="false" ht="15" hidden="false" customHeight="false" outlineLevel="0" collapsed="false">
      <c r="A21" s="2"/>
      <c r="B21" s="39" t="s">
        <v>39</v>
      </c>
      <c r="C21" s="39"/>
      <c r="D21" s="39"/>
      <c r="E21" s="2"/>
    </row>
    <row r="22" customFormat="false" ht="37.3" hidden="false" customHeight="true" outlineLevel="0" collapsed="false">
      <c r="A22" s="2"/>
      <c r="B22" s="40" t="s">
        <v>40</v>
      </c>
      <c r="C22" s="40"/>
      <c r="D22" s="40"/>
      <c r="E22" s="2"/>
    </row>
    <row r="23" customFormat="false" ht="15" hidden="false" customHeight="false" outlineLevel="0" collapsed="false">
      <c r="A23" s="2"/>
      <c r="B23" s="39" t="s">
        <v>41</v>
      </c>
      <c r="C23" s="39"/>
      <c r="D23" s="39"/>
      <c r="E23" s="2"/>
    </row>
    <row r="24" customFormat="false" ht="59.7" hidden="false" customHeight="true" outlineLevel="0" collapsed="false">
      <c r="A24" s="2"/>
      <c r="B24" s="40" t="s">
        <v>42</v>
      </c>
      <c r="C24" s="40"/>
      <c r="D24" s="40"/>
      <c r="E24" s="2"/>
    </row>
    <row r="25" customFormat="false" ht="12.8" hidden="false" customHeight="false" outlineLevel="0" collapsed="false">
      <c r="A25" s="2"/>
      <c r="B25" s="2"/>
      <c r="C25" s="2"/>
      <c r="D25" s="2"/>
      <c r="E25" s="2"/>
    </row>
    <row r="26" customFormat="false" ht="12.8" hidden="false" customHeight="false" outlineLevel="0" collapsed="false">
      <c r="B26" s="41"/>
    </row>
    <row r="27" customFormat="false" ht="12.8" hidden="false" customHeight="false" outlineLevel="0" collapsed="false">
      <c r="B27" s="42"/>
    </row>
    <row r="28" customFormat="false" ht="12.8" hidden="false" customHeight="false" outlineLevel="0" collapsed="false">
      <c r="B28" s="42"/>
    </row>
    <row r="29" customFormat="false" ht="12.8" hidden="false" customHeight="false" outlineLevel="0" collapsed="false">
      <c r="B29" s="42"/>
    </row>
    <row r="30" customFormat="false" ht="15" hidden="false" customHeight="false" outlineLevel="0" collapsed="false">
      <c r="B30" s="43"/>
    </row>
    <row r="31" customFormat="false" ht="12.8" hidden="false" customHeight="false" outlineLevel="0" collapsed="false">
      <c r="B31" s="41"/>
    </row>
    <row r="32" customFormat="false" ht="12.8" hidden="false" customHeight="false" outlineLevel="0" collapsed="false">
      <c r="B32" s="42"/>
    </row>
    <row r="33" customFormat="false" ht="12.8" hidden="false" customHeight="false" outlineLevel="0" collapsed="false">
      <c r="B33" s="42"/>
    </row>
  </sheetData>
  <mergeCells count="11">
    <mergeCell ref="B2:D2"/>
    <mergeCell ref="B5:D5"/>
    <mergeCell ref="B11:D11"/>
    <mergeCell ref="B12:D12"/>
    <mergeCell ref="B13:D13"/>
    <mergeCell ref="B14:D14"/>
    <mergeCell ref="B16:D16"/>
    <mergeCell ref="B21:D21"/>
    <mergeCell ref="B22:D22"/>
    <mergeCell ref="B23:D23"/>
    <mergeCell ref="B24:D24"/>
  </mergeCells>
  <dataValidations count="1">
    <dataValidation allowBlank="true" errorStyle="stop" operator="equal" showDropDown="false" showErrorMessage="true" showInputMessage="false" sqref="D3 D7:D10 D18:D20" type="list">
      <formula1>_lookup_CWSS_AU</formula1>
      <formula2>0</formula2>
    </dataValidation>
  </dataValidations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729FCF"/>
    <pageSetUpPr fitToPage="false"/>
  </sheetPr>
  <dimension ref="A1:BE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1.53515625" defaultRowHeight="12.8" zeroHeight="false" outlineLevelRow="0" outlineLevelCol="0"/>
  <cols>
    <col collapsed="false" customWidth="true" hidden="false" outlineLevel="0" max="1" min="1" style="44" width="12.38"/>
    <col collapsed="false" customWidth="true" hidden="false" outlineLevel="0" max="2" min="2" style="45" width="50.36"/>
    <col collapsed="false" customWidth="true" hidden="false" outlineLevel="0" max="3" min="3" style="45" width="37.69"/>
    <col collapsed="false" customWidth="true" hidden="false" outlineLevel="0" max="4" min="4" style="45" width="21.88"/>
    <col collapsed="false" customWidth="true" hidden="false" outlineLevel="0" max="5" min="5" style="44" width="21.88"/>
    <col collapsed="false" customWidth="true" hidden="false" outlineLevel="0" max="6" min="6" style="44" width="22.02"/>
    <col collapsed="false" customWidth="true" hidden="false" outlineLevel="0" max="7" min="7" style="45" width="64.31"/>
    <col collapsed="false" customWidth="true" hidden="false" outlineLevel="0" max="8" min="8" style="46" width="16.12"/>
    <col collapsed="false" customWidth="true" hidden="false" outlineLevel="0" max="10" min="9" style="46" width="12.83"/>
    <col collapsed="false" customWidth="true" hidden="false" outlineLevel="0" max="11" min="11" style="45" width="12.83"/>
    <col collapsed="false" customWidth="true" hidden="false" outlineLevel="0" max="12" min="12" style="45" width="16.12"/>
    <col collapsed="false" customWidth="true" hidden="false" outlineLevel="0" max="17" min="13" style="45" width="12.83"/>
    <col collapsed="false" customWidth="true" hidden="false" outlineLevel="0" max="18" min="18" style="45" width="17.24"/>
    <col collapsed="false" customWidth="true" hidden="false" outlineLevel="0" max="19" min="19" style="45" width="13.91"/>
    <col collapsed="false" customWidth="true" hidden="false" outlineLevel="0" max="20" min="20" style="45" width="14.74"/>
    <col collapsed="false" customWidth="true" hidden="false" outlineLevel="0" max="21" min="21" style="47" width="10.85"/>
    <col collapsed="false" customWidth="false" hidden="false" outlineLevel="0" max="22" min="22" style="48" width="11.53"/>
    <col collapsed="false" customWidth="true" hidden="false" outlineLevel="0" max="23" min="23" style="48" width="19.47"/>
    <col collapsed="false" customWidth="false" hidden="false" outlineLevel="0" max="24" min="24" style="49" width="11.53"/>
    <col collapsed="false" customWidth="true" hidden="false" outlineLevel="0" max="34" min="25" style="47" width="13.66"/>
    <col collapsed="false" customWidth="true" hidden="false" outlineLevel="0" max="35" min="35" style="45" width="64.58"/>
    <col collapsed="false" customWidth="true" hidden="false" outlineLevel="0" max="36" min="36" style="45" width="13.63"/>
    <col collapsed="false" customWidth="true" hidden="false" outlineLevel="0" max="37" min="37" style="49" width="13.75"/>
    <col collapsed="false" customWidth="true" hidden="false" outlineLevel="0" max="38" min="38" style="47" width="13.66"/>
    <col collapsed="false" customWidth="true" hidden="false" outlineLevel="0" max="39" min="39" style="47" width="38.33"/>
    <col collapsed="false" customWidth="true" hidden="false" outlineLevel="0" max="40" min="40" style="47" width="15.71"/>
    <col collapsed="false" customWidth="false" hidden="false" outlineLevel="0" max="16384" min="41" style="47" width="11.53"/>
  </cols>
  <sheetData>
    <row r="1" customFormat="false" ht="23.85" hidden="false" customHeight="true" outlineLevel="0" collapsed="false">
      <c r="A1" s="50" t="s">
        <v>46</v>
      </c>
      <c r="B1" s="50"/>
      <c r="C1" s="50"/>
      <c r="D1" s="50"/>
      <c r="E1" s="50"/>
      <c r="F1" s="50"/>
      <c r="G1" s="51" t="s">
        <v>47</v>
      </c>
      <c r="H1" s="51"/>
      <c r="I1" s="51"/>
      <c r="J1" s="51"/>
      <c r="K1" s="51"/>
      <c r="L1" s="51"/>
      <c r="M1" s="51"/>
      <c r="N1" s="51"/>
      <c r="O1" s="51"/>
      <c r="P1" s="51"/>
      <c r="Q1" s="51"/>
      <c r="R1" s="51"/>
      <c r="S1" s="51"/>
      <c r="T1" s="51"/>
      <c r="U1" s="52" t="s">
        <v>48</v>
      </c>
      <c r="V1" s="52"/>
      <c r="W1" s="52"/>
      <c r="X1" s="53" t="str">
        <f aca="false">"MODIFIED BASE METRICS [CHARACTERIZATION="&amp;'Characterization (CVSS)'!D3&amp;"]"</f>
        <v>MODIFIED BASE METRICS [CHARACTERIZATION=No (N)]</v>
      </c>
      <c r="Y1" s="53"/>
      <c r="Z1" s="53"/>
      <c r="AA1" s="53"/>
      <c r="AB1" s="53"/>
      <c r="AC1" s="53"/>
      <c r="AD1" s="53"/>
      <c r="AE1" s="53"/>
      <c r="AF1" s="53"/>
      <c r="AG1" s="53"/>
      <c r="AH1" s="53"/>
      <c r="AI1" s="54" t="s">
        <v>49</v>
      </c>
      <c r="AJ1" s="54"/>
      <c r="AK1" s="54"/>
      <c r="AL1" s="55" t="s">
        <v>50</v>
      </c>
      <c r="AM1" s="55"/>
      <c r="AN1" s="56" t="s">
        <v>51</v>
      </c>
      <c r="AO1" s="57"/>
      <c r="AP1" s="57"/>
      <c r="AQ1" s="57"/>
      <c r="AR1" s="57"/>
      <c r="AS1" s="57"/>
      <c r="AT1" s="57"/>
      <c r="AU1" s="57"/>
      <c r="AV1" s="57"/>
      <c r="AW1" s="57"/>
      <c r="AX1" s="57"/>
      <c r="AY1" s="57"/>
      <c r="AZ1" s="57"/>
      <c r="BA1" s="57"/>
      <c r="BB1" s="57"/>
      <c r="BC1" s="57"/>
      <c r="BD1" s="57"/>
      <c r="BE1" s="57"/>
    </row>
    <row r="2" customFormat="false" ht="35.05" hidden="false" customHeight="false" outlineLevel="0" collapsed="false">
      <c r="A2" s="58" t="s">
        <v>52</v>
      </c>
      <c r="B2" s="58" t="s">
        <v>53</v>
      </c>
      <c r="C2" s="58" t="s">
        <v>54</v>
      </c>
      <c r="D2" s="58" t="s">
        <v>55</v>
      </c>
      <c r="E2" s="58" t="s">
        <v>56</v>
      </c>
      <c r="F2" s="58" t="s">
        <v>3</v>
      </c>
      <c r="G2" s="59" t="s">
        <v>57</v>
      </c>
      <c r="H2" s="60" t="s">
        <v>58</v>
      </c>
      <c r="I2" s="60" t="s">
        <v>59</v>
      </c>
      <c r="J2" s="60" t="s">
        <v>60</v>
      </c>
      <c r="K2" s="60" t="s">
        <v>61</v>
      </c>
      <c r="L2" s="60" t="s">
        <v>62</v>
      </c>
      <c r="M2" s="60" t="s">
        <v>63</v>
      </c>
      <c r="N2" s="60" t="s">
        <v>64</v>
      </c>
      <c r="O2" s="60" t="s">
        <v>65</v>
      </c>
      <c r="P2" s="60" t="s">
        <v>66</v>
      </c>
      <c r="Q2" s="60" t="s">
        <v>67</v>
      </c>
      <c r="R2" s="60" t="s">
        <v>68</v>
      </c>
      <c r="S2" s="60" t="s">
        <v>69</v>
      </c>
      <c r="T2" s="60" t="s">
        <v>70</v>
      </c>
      <c r="U2" s="61" t="s">
        <v>71</v>
      </c>
      <c r="V2" s="61" t="s">
        <v>72</v>
      </c>
      <c r="W2" s="61" t="s">
        <v>73</v>
      </c>
      <c r="X2" s="62" t="s">
        <v>74</v>
      </c>
      <c r="Y2" s="62" t="s">
        <v>75</v>
      </c>
      <c r="Z2" s="62" t="s">
        <v>76</v>
      </c>
      <c r="AA2" s="62" t="s">
        <v>77</v>
      </c>
      <c r="AB2" s="62" t="s">
        <v>78</v>
      </c>
      <c r="AC2" s="62" t="s">
        <v>79</v>
      </c>
      <c r="AD2" s="62" t="s">
        <v>80</v>
      </c>
      <c r="AE2" s="62" t="s">
        <v>81</v>
      </c>
      <c r="AF2" s="62" t="s">
        <v>82</v>
      </c>
      <c r="AG2" s="62" t="s">
        <v>83</v>
      </c>
      <c r="AH2" s="62" t="s">
        <v>84</v>
      </c>
      <c r="AI2" s="63" t="s">
        <v>57</v>
      </c>
      <c r="AJ2" s="64" t="s">
        <v>85</v>
      </c>
      <c r="AK2" s="64" t="s">
        <v>86</v>
      </c>
      <c r="AL2" s="65" t="s">
        <v>87</v>
      </c>
      <c r="AM2" s="65" t="s">
        <v>88</v>
      </c>
      <c r="AN2" s="56"/>
    </row>
    <row r="3" customFormat="false" ht="12.8" hidden="false" customHeight="false" outlineLevel="0" collapsed="false">
      <c r="A3" s="66"/>
      <c r="B3" s="67"/>
      <c r="C3" s="67"/>
      <c r="D3" s="67"/>
      <c r="E3" s="66"/>
      <c r="F3" s="66"/>
      <c r="G3" s="68" t="s">
        <v>89</v>
      </c>
      <c r="H3" s="69" t="n">
        <f aca="false">CVSS_SCORE(G3)</f>
        <v>4.4</v>
      </c>
      <c r="I3" s="69" t="str">
        <f aca="false">INDEX(_lookup_heatmap_str, COUNTIF(_lookup_heatmap_val, "&gt;"&amp;H3)+1)</f>
        <v>Medium</v>
      </c>
      <c r="J3" s="69" t="str">
        <f aca="false">GET_CVSS_ELEMENT($G3,"AV")</f>
        <v>Local (L)</v>
      </c>
      <c r="K3" s="69" t="str">
        <f aca="false">GET_CVSS_ELEMENT($G3,"AC")</f>
        <v>Low (L)</v>
      </c>
      <c r="L3" s="69" t="str">
        <f aca="false">GET_CVSS_ELEMENT($G3,"AT")</f>
        <v>Present (P)</v>
      </c>
      <c r="M3" s="69" t="str">
        <f aca="false">GET_CVSS_ELEMENT($G3,"PR")</f>
        <v>Low (L)</v>
      </c>
      <c r="N3" s="69" t="str">
        <f aca="false">GET_CVSS_ELEMENT($G3,"UI")</f>
        <v>Passive (P)</v>
      </c>
      <c r="O3" s="69" t="str">
        <f aca="false">GET_CVSS_ELEMENT($G3,"VC")</f>
        <v>High (H)</v>
      </c>
      <c r="P3" s="69" t="str">
        <f aca="false">GET_CVSS_ELEMENT($G3,"VI")</f>
        <v>Low (L)</v>
      </c>
      <c r="Q3" s="69" t="str">
        <f aca="false">GET_CVSS_ELEMENT($G3,"VA")</f>
        <v>Low (L)</v>
      </c>
      <c r="R3" s="69" t="str">
        <f aca="false">GET_CVSS_ELEMENT($G3,"SC")</f>
        <v>Low (L)</v>
      </c>
      <c r="S3" s="69" t="str">
        <f aca="false">GET_CVSS_ELEMENT($G3,"SI")</f>
        <v>Low (L)</v>
      </c>
      <c r="T3" s="69" t="str">
        <f aca="false">GET_CVSS_ELEMENT($G3,"SA")</f>
        <v>Low (L)</v>
      </c>
      <c r="U3" s="70" t="n">
        <v>1</v>
      </c>
      <c r="V3" s="71" t="n">
        <v>0.6</v>
      </c>
      <c r="W3" s="72" t="str">
        <f aca="false">GETEXPLOIT(V3,U3)</f>
        <v>Attacked (A)</v>
      </c>
      <c r="X3" s="73" t="str">
        <f aca="false">INDEX(_map_AV_MAV, MATCH(J3, INDEX(_map_AV_MAV,,1), 0), 2)</f>
        <v>Local (L)</v>
      </c>
      <c r="Y3" s="73" t="str">
        <f aca="false">INDEX(_map_AC_MAC, MATCH(K3, INDEX(_map_AC_MAC,,1), 0), 2)</f>
        <v>Low (L)</v>
      </c>
      <c r="Z3" s="74" t="str">
        <f aca="false">L3</f>
        <v>Present (P)</v>
      </c>
      <c r="AA3" s="74" t="str">
        <f aca="false">M3</f>
        <v>Low (L)</v>
      </c>
      <c r="AB3" s="74" t="str">
        <f aca="false">N3</f>
        <v>Passive (P)</v>
      </c>
      <c r="AC3" s="74" t="str">
        <f aca="false">O3</f>
        <v>High (H)</v>
      </c>
      <c r="AD3" s="74" t="str">
        <f aca="false">P3</f>
        <v>Low (L)</v>
      </c>
      <c r="AE3" s="74" t="str">
        <f aca="false">Q3</f>
        <v>Low (L)</v>
      </c>
      <c r="AF3" s="74" t="str">
        <f aca="false">R3</f>
        <v>Low (L)</v>
      </c>
      <c r="AG3" s="74" t="str">
        <f aca="false">S3</f>
        <v>Low (L)</v>
      </c>
      <c r="AH3" s="74" t="str">
        <f aca="false">T3</f>
        <v>Low (L)</v>
      </c>
      <c r="AI3" s="75" t="str">
        <f aca="false">GET_CVSS4_VECTOR_STR(X3,Y3,Z3,AA3,AB3,AC3,AD3,AE3,AF3,AG3,AH3,W3)</f>
        <v>CVSS:4.0/AV:L/AC:L/AT:P/PR:L/UI:P/VC:H/VI:L/VA:L/SC:L/SI:L/SA:L/E:A</v>
      </c>
      <c r="AJ3" s="69" t="n">
        <f aca="false">CVSS_SCORE(AI3)</f>
        <v>4.4</v>
      </c>
      <c r="AK3" s="69" t="str">
        <f aca="false">INDEX(_lookup_heatmap_str, COUNTIF(_lookup_heatmap_val, "&gt;"&amp;AJ3)+1)</f>
        <v>Medium</v>
      </c>
      <c r="AL3" s="74" t="s">
        <v>20</v>
      </c>
      <c r="AM3" s="76"/>
      <c r="AN3" s="77" t="str">
        <f aca="false">INDEX(_lookup_SafetyHeatMap,MATCH(AK3,_lookup_heatmap_str,0)+1,MATCH(AL3,_lookup_SafetyRating,0)+3)</f>
        <v>Controlled</v>
      </c>
    </row>
  </sheetData>
  <autoFilter ref="A2:AM3"/>
  <mergeCells count="7">
    <mergeCell ref="A1:F1"/>
    <mergeCell ref="G1:T1"/>
    <mergeCell ref="U1:W1"/>
    <mergeCell ref="X1:AH1"/>
    <mergeCell ref="AI1:AK1"/>
    <mergeCell ref="AL1:AM1"/>
    <mergeCell ref="AN1:AN2"/>
  </mergeCells>
  <conditionalFormatting sqref="AN3">
    <cfRule type="cellIs" priority="2" operator="equal" aboveAverage="0" equalAverage="0" bottom="0" percent="0" rank="0" text="" dxfId="12">
      <formula>"Controlled"</formula>
    </cfRule>
    <cfRule type="cellIs" priority="3" operator="equal" aboveAverage="0" equalAverage="0" bottom="0" percent="0" rank="0" text="" dxfId="13">
      <formula>"Uncontrolled"</formula>
    </cfRule>
  </conditionalFormatting>
  <dataValidations count="15">
    <dataValidation allowBlank="true" errorStyle="stop" operator="equal" showDropDown="false" showErrorMessage="true" showInputMessage="false" sqref="G1:G995 U1:U2 A2:F3 H2:T3 V3 AI3:AK3 AM3:AN3 U4:U995" type="none">
      <formula1>0</formula1>
      <formula2>0</formula2>
    </dataValidation>
    <dataValidation allowBlank="true" errorStyle="stop" operator="equal" showDropDown="false" showErrorMessage="true" showInputMessage="false" sqref="X3" type="list">
      <formula1>_lookup_AV</formula1>
      <formula2>0</formula2>
    </dataValidation>
    <dataValidation allowBlank="true" errorStyle="stop" operator="equal" showDropDown="false" showErrorMessage="true" showInputMessage="false" sqref="Y3" type="list">
      <formula1>_lookup_AC</formula1>
      <formula2>0</formula2>
    </dataValidation>
    <dataValidation allowBlank="true" errorStyle="stop" operator="equal" showDropDown="false" showErrorMessage="true" showInputMessage="false" sqref="Z3" type="list">
      <formula1>_lookup_AT</formula1>
      <formula2>0</formula2>
    </dataValidation>
    <dataValidation allowBlank="true" errorStyle="stop" operator="equal" showDropDown="false" showErrorMessage="true" showInputMessage="false" sqref="AA3" type="list">
      <formula1>_lookup_PR</formula1>
      <formula2>0</formula2>
    </dataValidation>
    <dataValidation allowBlank="true" errorStyle="stop" operator="equal" showDropDown="false" showErrorMessage="true" showInputMessage="false" sqref="AB3" type="list">
      <formula1>_lookup_UI</formula1>
      <formula2>0</formula2>
    </dataValidation>
    <dataValidation allowBlank="true" errorStyle="stop" operator="equal" showDropDown="false" showErrorMessage="true" showInputMessage="false" sqref="AC3" type="list">
      <formula1>_lookup_VC</formula1>
      <formula2>0</formula2>
    </dataValidation>
    <dataValidation allowBlank="true" errorStyle="stop" operator="equal" showDropDown="false" showErrorMessage="true" showInputMessage="false" sqref="AD3" type="list">
      <formula1>_lookup_VI</formula1>
      <formula2>0</formula2>
    </dataValidation>
    <dataValidation allowBlank="true" errorStyle="stop" operator="equal" showDropDown="false" showErrorMessage="true" showInputMessage="false" sqref="AE3" type="list">
      <formula1>_lookup_VA</formula1>
      <formula2>0</formula2>
    </dataValidation>
    <dataValidation allowBlank="true" errorStyle="stop" operator="equal" showDropDown="false" showErrorMessage="true" showInputMessage="false" sqref="AF3" type="list">
      <formula1>_lookup_SC</formula1>
      <formula2>0</formula2>
    </dataValidation>
    <dataValidation allowBlank="true" errorStyle="stop" operator="equal" showDropDown="false" showErrorMessage="true" showInputMessage="false" sqref="AG3" type="list">
      <formula1>_lookup_MSI</formula1>
      <formula2>0</formula2>
    </dataValidation>
    <dataValidation allowBlank="true" errorStyle="stop" operator="equal" showDropDown="false" showErrorMessage="true" showInputMessage="false" sqref="AH3" type="list">
      <formula1>_lookup_MSA</formula1>
      <formula2>0</formula2>
    </dataValidation>
    <dataValidation allowBlank="true" errorStyle="stop" operator="equal" showDropDown="false" showErrorMessage="true" showInputMessage="false" sqref="AL3" type="list">
      <formula1>_lookup_SafetyRating</formula1>
      <formula2>0</formula2>
    </dataValidation>
    <dataValidation allowBlank="true" errorStyle="stop" operator="equal" showDropDown="false" showErrorMessage="true" showInputMessage="false" sqref="U3" type="none">
      <formula1>_lookup_CWSS_AU</formula1>
      <formula2>0</formula2>
    </dataValidation>
    <dataValidation allowBlank="true" errorStyle="stop" operator="equal" showDropDown="false" showErrorMessage="true" showInputMessage="false" sqref="W3" type="list">
      <formula1>_lookup_E</formula1>
      <formula2>0</formula2>
    </dataValidation>
  </dataValidations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tToWidth="1" fitToHeight="1" pageOrder="downThenOver" orientation="portrait" blackAndWhite="false" draft="false" cellComments="none" firstPageNumber="1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81ACA6"/>
    <pageSetUpPr fitToPage="false"/>
  </sheetPr>
  <dimension ref="A1:XFD12"/>
  <sheetViews>
    <sheetView showFormulas="false" showGridLines="true" showRowColHeaders="true" showZeros="true" rightToLeft="false" tabSelected="false" showOutlineSymbols="true" defaultGridColor="true" view="normal" topLeftCell="G1" colorId="64" zoomScale="100" zoomScaleNormal="100" zoomScalePageLayoutView="100" workbookViewId="0">
      <selection pane="topLeft" activeCell="P34" activeCellId="0" sqref="P34"/>
    </sheetView>
  </sheetViews>
  <sheetFormatPr defaultColWidth="11.53515625" defaultRowHeight="12.8" zeroHeight="false" outlineLevelRow="0" outlineLevelCol="0"/>
  <cols>
    <col collapsed="false" customWidth="true" hidden="false" outlineLevel="0" max="1" min="1" style="44" width="12.38"/>
    <col collapsed="false" customWidth="true" hidden="false" outlineLevel="0" max="2" min="2" style="45" width="50.36"/>
    <col collapsed="false" customWidth="true" hidden="false" outlineLevel="0" max="3" min="3" style="45" width="37.69"/>
    <col collapsed="false" customWidth="true" hidden="false" outlineLevel="0" max="4" min="4" style="45" width="21.88"/>
    <col collapsed="false" customWidth="true" hidden="false" outlineLevel="0" max="5" min="5" style="44" width="22.68"/>
    <col collapsed="false" customWidth="true" hidden="false" outlineLevel="0" max="6" min="6" style="44" width="22.02"/>
    <col collapsed="false" customWidth="true" hidden="false" outlineLevel="0" max="15" min="7" style="44" width="14.6"/>
    <col collapsed="false" customWidth="true" hidden="false" outlineLevel="0" max="16" min="16" style="44" width="16.31"/>
    <col collapsed="false" customWidth="true" hidden="false" outlineLevel="0" max="22" min="17" style="44" width="14.6"/>
    <col collapsed="false" customWidth="false" hidden="false" outlineLevel="0" max="23" min="23" style="45" width="11.54"/>
    <col collapsed="false" customWidth="true" hidden="false" outlineLevel="0" max="24" min="24" style="45" width="12.23"/>
    <col collapsed="false" customWidth="true" hidden="false" outlineLevel="0" max="25" min="25" style="45" width="14.06"/>
    <col collapsed="false" customWidth="true" hidden="false" outlineLevel="0" max="26" min="26" style="49" width="13.75"/>
    <col collapsed="false" customWidth="true" hidden="false" outlineLevel="0" max="28" min="27" style="49" width="12.66"/>
    <col collapsed="false" customWidth="true" hidden="false" outlineLevel="0" max="29" min="29" style="47" width="13.66"/>
    <col collapsed="false" customWidth="true" hidden="false" outlineLevel="0" max="30" min="30" style="47" width="38.33"/>
    <col collapsed="false" customWidth="true" hidden="false" outlineLevel="0" max="31" min="31" style="47" width="15.71"/>
    <col collapsed="false" customWidth="false" hidden="false" outlineLevel="0" max="36" min="32" style="47" width="11.53"/>
  </cols>
  <sheetData>
    <row r="1" customFormat="false" ht="23.85" hidden="false" customHeight="true" outlineLevel="0" collapsed="false">
      <c r="A1" s="50" t="s">
        <v>46</v>
      </c>
      <c r="B1" s="50"/>
      <c r="C1" s="50"/>
      <c r="D1" s="50"/>
      <c r="E1" s="50"/>
      <c r="F1" s="50"/>
      <c r="G1" s="78" t="s">
        <v>90</v>
      </c>
      <c r="H1" s="78"/>
      <c r="I1" s="78"/>
      <c r="J1" s="78"/>
      <c r="K1" s="78"/>
      <c r="L1" s="79" t="s">
        <v>91</v>
      </c>
      <c r="M1" s="79"/>
      <c r="N1" s="79"/>
      <c r="O1" s="79"/>
      <c r="P1" s="79"/>
      <c r="Q1" s="79"/>
      <c r="R1" s="80" t="s">
        <v>92</v>
      </c>
      <c r="S1" s="80"/>
      <c r="T1" s="80"/>
      <c r="U1" s="80"/>
      <c r="V1" s="80"/>
      <c r="W1" s="54" t="s">
        <v>93</v>
      </c>
      <c r="X1" s="54"/>
      <c r="Y1" s="54"/>
      <c r="Z1" s="54"/>
      <c r="AA1" s="54"/>
      <c r="AB1" s="54"/>
      <c r="AC1" s="55" t="s">
        <v>50</v>
      </c>
      <c r="AD1" s="55"/>
      <c r="AE1" s="56" t="s">
        <v>51</v>
      </c>
      <c r="AF1" s="57"/>
      <c r="AG1" s="57"/>
      <c r="AH1" s="57"/>
      <c r="AI1" s="57"/>
      <c r="AJ1" s="57"/>
    </row>
    <row r="2" customFormat="false" ht="46.25" hidden="false" customHeight="false" outlineLevel="0" collapsed="false">
      <c r="A2" s="58" t="s">
        <v>52</v>
      </c>
      <c r="B2" s="58" t="s">
        <v>53</v>
      </c>
      <c r="C2" s="58" t="s">
        <v>54</v>
      </c>
      <c r="D2" s="58" t="s">
        <v>55</v>
      </c>
      <c r="E2" s="58" t="s">
        <v>94</v>
      </c>
      <c r="F2" s="58" t="s">
        <v>95</v>
      </c>
      <c r="G2" s="81" t="s">
        <v>96</v>
      </c>
      <c r="H2" s="81" t="s">
        <v>97</v>
      </c>
      <c r="I2" s="81" t="s">
        <v>98</v>
      </c>
      <c r="J2" s="81" t="s">
        <v>99</v>
      </c>
      <c r="K2" s="81" t="s">
        <v>100</v>
      </c>
      <c r="L2" s="82" t="s">
        <v>101</v>
      </c>
      <c r="M2" s="82" t="s">
        <v>102</v>
      </c>
      <c r="N2" s="82" t="s">
        <v>103</v>
      </c>
      <c r="O2" s="82" t="s">
        <v>104</v>
      </c>
      <c r="P2" s="82" t="s">
        <v>105</v>
      </c>
      <c r="Q2" s="82" t="s">
        <v>106</v>
      </c>
      <c r="R2" s="83" t="s">
        <v>107</v>
      </c>
      <c r="S2" s="83" t="s">
        <v>108</v>
      </c>
      <c r="T2" s="83" t="s">
        <v>109</v>
      </c>
      <c r="U2" s="83" t="s">
        <v>110</v>
      </c>
      <c r="V2" s="83" t="s">
        <v>111</v>
      </c>
      <c r="W2" s="64" t="s">
        <v>112</v>
      </c>
      <c r="X2" s="64" t="s">
        <v>113</v>
      </c>
      <c r="Y2" s="64" t="s">
        <v>114</v>
      </c>
      <c r="Z2" s="64" t="s">
        <v>115</v>
      </c>
      <c r="AA2" s="64"/>
      <c r="AB2" s="64" t="s">
        <v>116</v>
      </c>
      <c r="AC2" s="65" t="s">
        <v>87</v>
      </c>
      <c r="AD2" s="65" t="s">
        <v>88</v>
      </c>
      <c r="AE2" s="56"/>
    </row>
    <row r="3" s="12" customFormat="true" ht="12.8" hidden="false" customHeight="false" outlineLevel="0" collapsed="false">
      <c r="A3" s="84"/>
      <c r="B3" s="85" t="s">
        <v>117</v>
      </c>
      <c r="C3" s="85"/>
      <c r="D3" s="85" t="s">
        <v>118</v>
      </c>
      <c r="E3" s="86" t="s">
        <v>119</v>
      </c>
      <c r="F3" s="84"/>
      <c r="G3" s="86" t="s">
        <v>7</v>
      </c>
      <c r="H3" s="86" t="s">
        <v>11</v>
      </c>
      <c r="I3" s="86" t="s">
        <v>120</v>
      </c>
      <c r="J3" s="87" t="s">
        <v>121</v>
      </c>
      <c r="K3" s="87" t="s">
        <v>122</v>
      </c>
      <c r="L3" s="86" t="s">
        <v>123</v>
      </c>
      <c r="M3" s="86" t="s">
        <v>11</v>
      </c>
      <c r="N3" s="86" t="s">
        <v>121</v>
      </c>
      <c r="O3" s="86" t="s">
        <v>124</v>
      </c>
      <c r="P3" s="86" t="s">
        <v>11</v>
      </c>
      <c r="Q3" s="86" t="s">
        <v>11</v>
      </c>
      <c r="R3" s="86" t="s">
        <v>7</v>
      </c>
      <c r="S3" s="86" t="s">
        <v>8</v>
      </c>
      <c r="T3" s="86" t="s">
        <v>125</v>
      </c>
      <c r="U3" s="86" t="s">
        <v>126</v>
      </c>
      <c r="V3" s="86" t="s">
        <v>11</v>
      </c>
      <c r="W3" s="88" t="n">
        <f aca="false">CALCULATEBASEFINDING(G3,I3,J3,H3,K3)</f>
        <v>80</v>
      </c>
      <c r="X3" s="88" t="n">
        <f aca="false">CALCULATEATTACKSURFACE(M3,N3,L3,Q3,P3,O3)</f>
        <v>0.85</v>
      </c>
      <c r="Y3" s="88" t="n">
        <f aca="false">CALCULATEENVIRONMENTAL(R3,S3,T3,V3,U3)</f>
        <v>1</v>
      </c>
      <c r="Z3" s="88" t="n">
        <f aca="false">W3*X3*Y3</f>
        <v>68</v>
      </c>
      <c r="AA3" s="88"/>
      <c r="AB3" s="89" t="str">
        <f aca="false">INDEX(_lookup_heatmap_str, COUNTIF(_lookup_heatmap_CWSS_val, "&gt;"&amp;Z3)+1)</f>
        <v>Medium</v>
      </c>
      <c r="AC3" s="90" t="s">
        <v>20</v>
      </c>
      <c r="AD3" s="91"/>
      <c r="AE3" s="92" t="str">
        <f aca="false">INDEX(_lookup_SafetyHeatMap,MATCH(AB3,_lookup_heatmap_str,0)+1,MATCH(AC3,_lookup_SafetyRating,0)+3)</f>
        <v>Controlled</v>
      </c>
      <c r="AF3" s="93"/>
      <c r="AG3" s="93"/>
      <c r="AH3" s="93"/>
      <c r="AI3" s="93"/>
      <c r="AJ3" s="93"/>
      <c r="XEY3" s="0"/>
      <c r="XEZ3" s="1"/>
      <c r="XFA3" s="1"/>
      <c r="XFB3" s="1"/>
      <c r="XFC3" s="1"/>
      <c r="XFD3" s="1"/>
    </row>
    <row r="4" customFormat="false" ht="12.8" hidden="false" customHeight="false" outlineLevel="0" collapsed="false">
      <c r="A4" s="84"/>
      <c r="B4" s="85" t="s">
        <v>127</v>
      </c>
      <c r="C4" s="85"/>
      <c r="D4" s="85" t="s">
        <v>128</v>
      </c>
      <c r="E4" s="86" t="s">
        <v>129</v>
      </c>
      <c r="F4" s="84"/>
      <c r="G4" s="86" t="s">
        <v>7</v>
      </c>
      <c r="H4" s="86" t="s">
        <v>130</v>
      </c>
      <c r="I4" s="86" t="s">
        <v>120</v>
      </c>
      <c r="J4" s="87" t="s">
        <v>131</v>
      </c>
      <c r="K4" s="87" t="s">
        <v>122</v>
      </c>
      <c r="L4" s="86" t="s">
        <v>123</v>
      </c>
      <c r="M4" s="86" t="s">
        <v>132</v>
      </c>
      <c r="N4" s="86" t="s">
        <v>131</v>
      </c>
      <c r="O4" s="86" t="s">
        <v>124</v>
      </c>
      <c r="P4" s="86" t="s">
        <v>11</v>
      </c>
      <c r="Q4" s="86" t="s">
        <v>133</v>
      </c>
      <c r="R4" s="86" t="s">
        <v>8</v>
      </c>
      <c r="S4" s="86" t="s">
        <v>8</v>
      </c>
      <c r="T4" s="86" t="s">
        <v>134</v>
      </c>
      <c r="U4" s="86" t="s">
        <v>135</v>
      </c>
      <c r="V4" s="86" t="s">
        <v>136</v>
      </c>
      <c r="W4" s="88" t="n">
        <f aca="false">CALCULATEBASEFINDING(G4,I4,J4,H4,K4)</f>
        <v>76</v>
      </c>
      <c r="X4" s="88" t="n">
        <f aca="false">CALCULATEATTACKSURFACE(M4,N4,L4,Q4,P4,O4)</f>
        <v>0.693</v>
      </c>
      <c r="Y4" s="88" t="n">
        <f aca="false">CALCULATEENVIRONMENTAL(R4,S4,T4,V4,U4)</f>
        <v>0.7875</v>
      </c>
      <c r="Z4" s="88" t="n">
        <f aca="false">W4*X4*Y4</f>
        <v>41.47605</v>
      </c>
      <c r="AA4" s="88"/>
      <c r="AB4" s="89" t="str">
        <f aca="false">INDEX(_lookup_heatmap_str, COUNTIF(_lookup_heatmap_CWSS_val, "&gt;"&amp;Z4)+1)</f>
        <v>Medium</v>
      </c>
      <c r="AC4" s="90" t="s">
        <v>20</v>
      </c>
      <c r="AD4" s="91"/>
      <c r="AE4" s="92" t="str">
        <f aca="false">INDEX(_lookup_SafetyHeatMap,MATCH(AB4,_lookup_heatmap_str,0)+1,MATCH(AC4,_lookup_SafetyRating,0)+3)</f>
        <v>Controlled</v>
      </c>
      <c r="AF4" s="93"/>
      <c r="AG4" s="93"/>
      <c r="AH4" s="93"/>
      <c r="AI4" s="93"/>
      <c r="AJ4" s="93"/>
    </row>
    <row r="5" customFormat="false" ht="12.8" hidden="false" customHeight="false" outlineLevel="0" collapsed="false">
      <c r="A5" s="84"/>
      <c r="B5" s="85" t="s">
        <v>137</v>
      </c>
      <c r="C5" s="85"/>
      <c r="D5" s="85"/>
      <c r="E5" s="86"/>
      <c r="F5" s="84"/>
      <c r="G5" s="86" t="s">
        <v>8</v>
      </c>
      <c r="H5" s="86" t="s">
        <v>138</v>
      </c>
      <c r="I5" s="86" t="s">
        <v>120</v>
      </c>
      <c r="J5" s="87" t="s">
        <v>139</v>
      </c>
      <c r="K5" s="87" t="s">
        <v>122</v>
      </c>
      <c r="L5" s="86" t="s">
        <v>140</v>
      </c>
      <c r="M5" s="86" t="s">
        <v>11</v>
      </c>
      <c r="N5" s="86" t="s">
        <v>139</v>
      </c>
      <c r="O5" s="86" t="s">
        <v>141</v>
      </c>
      <c r="P5" s="86" t="s">
        <v>142</v>
      </c>
      <c r="Q5" s="86" t="s">
        <v>143</v>
      </c>
      <c r="R5" s="86" t="s">
        <v>9</v>
      </c>
      <c r="S5" s="86" t="s">
        <v>9</v>
      </c>
      <c r="T5" s="86" t="s">
        <v>144</v>
      </c>
      <c r="U5" s="86" t="s">
        <v>145</v>
      </c>
      <c r="V5" s="86" t="s">
        <v>146</v>
      </c>
      <c r="W5" s="88" t="n">
        <f aca="false">CALCULATEBASEFINDING(G5,I5,J5,H5,K5)</f>
        <v>62</v>
      </c>
      <c r="X5" s="88" t="n">
        <f aca="false">CALCULATEATTACKSURFACE(M5,N5,L5,Q5,P5,O5)</f>
        <v>0.636</v>
      </c>
      <c r="Y5" s="88" t="n">
        <f aca="false">CALCULATEENVIRONMENTAL(R5,S5,T5,V5,U5)</f>
        <v>0.524</v>
      </c>
      <c r="Z5" s="88" t="n">
        <f aca="false">W5*X5*Y5</f>
        <v>20.662368</v>
      </c>
      <c r="AA5" s="88"/>
      <c r="AB5" s="89" t="str">
        <f aca="false">INDEX(_lookup_heatmap_str, COUNTIF(_lookup_heatmap_CWSS_val, "&gt;"&amp;Z5)+1)</f>
        <v>Low</v>
      </c>
      <c r="AC5" s="90" t="s">
        <v>20</v>
      </c>
      <c r="AD5" s="91"/>
      <c r="AE5" s="92" t="str">
        <f aca="false">INDEX(_lookup_SafetyHeatMap,MATCH(AB5,_lookup_heatmap_str,0)+1,MATCH(AC5,_lookup_SafetyRating,0)+3)</f>
        <v>Controlled</v>
      </c>
      <c r="AF5" s="93"/>
      <c r="AG5" s="93"/>
      <c r="AH5" s="93"/>
      <c r="AI5" s="93"/>
      <c r="AJ5" s="93"/>
    </row>
    <row r="6" customFormat="false" ht="12.8" hidden="false" customHeight="false" outlineLevel="0" collapsed="false">
      <c r="A6" s="84"/>
      <c r="B6" s="85" t="s">
        <v>147</v>
      </c>
      <c r="C6" s="85"/>
      <c r="D6" s="85"/>
      <c r="E6" s="86"/>
      <c r="F6" s="84"/>
      <c r="G6" s="86" t="s">
        <v>8</v>
      </c>
      <c r="H6" s="86" t="s">
        <v>138</v>
      </c>
      <c r="I6" s="86" t="s">
        <v>132</v>
      </c>
      <c r="J6" s="87" t="s">
        <v>148</v>
      </c>
      <c r="K6" s="94" t="s">
        <v>149</v>
      </c>
      <c r="L6" s="86" t="s">
        <v>150</v>
      </c>
      <c r="M6" s="86" t="s">
        <v>132</v>
      </c>
      <c r="N6" s="86" t="s">
        <v>148</v>
      </c>
      <c r="O6" s="86" t="s">
        <v>151</v>
      </c>
      <c r="P6" s="86" t="s">
        <v>152</v>
      </c>
      <c r="Q6" s="86" t="s">
        <v>143</v>
      </c>
      <c r="R6" s="86" t="s">
        <v>8</v>
      </c>
      <c r="S6" s="86" t="s">
        <v>8</v>
      </c>
      <c r="T6" s="86" t="s">
        <v>11</v>
      </c>
      <c r="U6" s="86" t="s">
        <v>153</v>
      </c>
      <c r="V6" s="86" t="s">
        <v>8</v>
      </c>
      <c r="W6" s="88" t="n">
        <f aca="false">CALCULATEBASEFINDING(G6,I6,J6,H6,K6)</f>
        <v>63</v>
      </c>
      <c r="X6" s="88" t="n">
        <f aca="false">CALCULATEATTACKSURFACE(M6,N6,L6,Q6,P6,O6)</f>
        <v>0.4455</v>
      </c>
      <c r="Y6" s="88" t="n">
        <f aca="false">CALCULATEENVIRONMENTAL(R6,S6,T6,V6,U6)</f>
        <v>0</v>
      </c>
      <c r="Z6" s="88" t="n">
        <f aca="false">W6*X6*Y6</f>
        <v>0</v>
      </c>
      <c r="AA6" s="88"/>
      <c r="AB6" s="89" t="str">
        <f aca="false">INDEX(_lookup_heatmap_str, COUNTIF(_lookup_heatmap_CWSS_val, "&gt;"&amp;Z6)+1)</f>
        <v>None</v>
      </c>
      <c r="AC6" s="90" t="s">
        <v>20</v>
      </c>
      <c r="AD6" s="91"/>
      <c r="AE6" s="92" t="str">
        <f aca="false">INDEX(_lookup_SafetyHeatMap,MATCH(AB6,_lookup_heatmap_str,0)+1,MATCH(AC6,_lookup_SafetyRating,0)+3)</f>
        <v>Controlled</v>
      </c>
      <c r="AF6" s="93"/>
      <c r="AG6" s="93"/>
      <c r="AH6" s="93"/>
      <c r="AI6" s="93"/>
      <c r="AJ6" s="93"/>
    </row>
    <row r="7" customFormat="false" ht="12.8" hidden="false" customHeight="false" outlineLevel="0" collapsed="false">
      <c r="A7" s="84"/>
      <c r="B7" s="85" t="s">
        <v>154</v>
      </c>
      <c r="C7" s="85"/>
      <c r="D7" s="85"/>
      <c r="E7" s="86"/>
      <c r="F7" s="84"/>
      <c r="G7" s="86" t="s">
        <v>9</v>
      </c>
      <c r="H7" s="86" t="s">
        <v>11</v>
      </c>
      <c r="I7" s="86" t="s">
        <v>132</v>
      </c>
      <c r="J7" s="87" t="s">
        <v>155</v>
      </c>
      <c r="K7" s="87" t="s">
        <v>156</v>
      </c>
      <c r="L7" s="86" t="s">
        <v>157</v>
      </c>
      <c r="M7" s="86" t="s">
        <v>11</v>
      </c>
      <c r="N7" s="86" t="s">
        <v>155</v>
      </c>
      <c r="O7" s="86" t="s">
        <v>151</v>
      </c>
      <c r="P7" s="86" t="s">
        <v>11</v>
      </c>
      <c r="Q7" s="86" t="s">
        <v>141</v>
      </c>
      <c r="R7" s="86" t="s">
        <v>10</v>
      </c>
      <c r="S7" s="86" t="s">
        <v>10</v>
      </c>
      <c r="T7" s="86" t="s">
        <v>141</v>
      </c>
      <c r="U7" s="86" t="s">
        <v>141</v>
      </c>
      <c r="V7" s="86" t="s">
        <v>141</v>
      </c>
      <c r="W7" s="88" t="n">
        <f aca="false">CALCULATEBASEFINDING(G7,I7,J7,H7,K7)</f>
        <v>39</v>
      </c>
      <c r="X7" s="88" t="n">
        <f aca="false">CALCULATEATTACKSURFACE(M7,N7,L7,Q7,P7,O7)</f>
        <v>0.34</v>
      </c>
      <c r="Y7" s="88" t="n">
        <f aca="false">CALCULATEENVIRONMENTAL(R7,S7,T7,V7,U7)</f>
        <v>0.2495</v>
      </c>
      <c r="Z7" s="88" t="n">
        <f aca="false">W7*X7*Y7</f>
        <v>3.30837</v>
      </c>
      <c r="AA7" s="88"/>
      <c r="AB7" s="89" t="str">
        <f aca="false">INDEX(_lookup_heatmap_str, COUNTIF(_lookup_heatmap_CWSS_val, "&gt;"&amp;Z7)+1)</f>
        <v>Low</v>
      </c>
      <c r="AC7" s="90" t="s">
        <v>20</v>
      </c>
      <c r="AD7" s="91"/>
      <c r="AE7" s="92" t="str">
        <f aca="false">INDEX(_lookup_SafetyHeatMap,MATCH(AB7,_lookup_heatmap_str,0)+1,MATCH(AC7,_lookup_SafetyRating,0)+3)</f>
        <v>Controlled</v>
      </c>
      <c r="AF7" s="93"/>
      <c r="AG7" s="93"/>
      <c r="AH7" s="93"/>
      <c r="AI7" s="93"/>
      <c r="AJ7" s="93"/>
    </row>
    <row r="8" customFormat="false" ht="12.8" hidden="false" customHeight="false" outlineLevel="0" collapsed="false">
      <c r="A8" s="84"/>
      <c r="B8" s="85" t="s">
        <v>158</v>
      </c>
      <c r="C8" s="85"/>
      <c r="D8" s="85"/>
      <c r="E8" s="86"/>
      <c r="F8" s="84"/>
      <c r="G8" s="86" t="s">
        <v>7</v>
      </c>
      <c r="H8" s="86" t="s">
        <v>138</v>
      </c>
      <c r="I8" s="86" t="s">
        <v>120</v>
      </c>
      <c r="J8" s="87" t="s">
        <v>141</v>
      </c>
      <c r="K8" s="87" t="s">
        <v>122</v>
      </c>
      <c r="L8" s="86" t="s">
        <v>123</v>
      </c>
      <c r="M8" s="86" t="s">
        <v>11</v>
      </c>
      <c r="N8" s="86" t="s">
        <v>141</v>
      </c>
      <c r="O8" s="86" t="s">
        <v>124</v>
      </c>
      <c r="P8" s="86" t="s">
        <v>11</v>
      </c>
      <c r="Q8" s="86" t="s">
        <v>11</v>
      </c>
      <c r="R8" s="86" t="s">
        <v>7</v>
      </c>
      <c r="S8" s="86" t="s">
        <v>8</v>
      </c>
      <c r="T8" s="86" t="s">
        <v>125</v>
      </c>
      <c r="U8" s="86" t="s">
        <v>135</v>
      </c>
      <c r="V8" s="86" t="s">
        <v>11</v>
      </c>
      <c r="W8" s="88" t="n">
        <f aca="false">CALCULATEBASEFINDING(G8,I8,J8,H8,K8)</f>
        <v>70</v>
      </c>
      <c r="X8" s="88" t="n">
        <f aca="false">CALCULATEATTACKSURFACE(M8,N8,L8,Q8,P8,O8)</f>
        <v>0.75</v>
      </c>
      <c r="Y8" s="88" t="n">
        <f aca="false">CALCULATEENVIRONMENTAL(R8,S8,T8,V8,U8)</f>
        <v>0.9625</v>
      </c>
      <c r="Z8" s="88" t="n">
        <f aca="false">W8*X8*Y8</f>
        <v>50.53125</v>
      </c>
      <c r="AA8" s="88"/>
      <c r="AB8" s="89" t="str">
        <f aca="false">INDEX(_lookup_heatmap_str, COUNTIF(_lookup_heatmap_CWSS_val, "&gt;"&amp;Z8)+1)</f>
        <v>Medium</v>
      </c>
      <c r="AC8" s="90" t="s">
        <v>20</v>
      </c>
      <c r="AD8" s="91"/>
      <c r="AE8" s="92" t="str">
        <f aca="false">INDEX(_lookup_SafetyHeatMap,MATCH(AB8,_lookup_heatmap_str,0)+1,MATCH(AC8,_lookup_SafetyRating,0)+3)</f>
        <v>Controlled</v>
      </c>
      <c r="AF8" s="93"/>
      <c r="AG8" s="93"/>
      <c r="AH8" s="93"/>
      <c r="AI8" s="93"/>
      <c r="AJ8" s="93"/>
    </row>
    <row r="9" customFormat="false" ht="12.8" hidden="false" customHeight="false" outlineLevel="0" collapsed="false">
      <c r="A9" s="84"/>
      <c r="B9" s="85" t="s">
        <v>159</v>
      </c>
      <c r="C9" s="85"/>
      <c r="D9" s="85"/>
      <c r="E9" s="86"/>
      <c r="F9" s="84"/>
      <c r="G9" s="86" t="s">
        <v>8</v>
      </c>
      <c r="H9" s="86" t="s">
        <v>130</v>
      </c>
      <c r="I9" s="86" t="s">
        <v>132</v>
      </c>
      <c r="J9" s="87" t="s">
        <v>160</v>
      </c>
      <c r="K9" s="87" t="s">
        <v>122</v>
      </c>
      <c r="L9" s="86" t="s">
        <v>140</v>
      </c>
      <c r="M9" s="86" t="s">
        <v>132</v>
      </c>
      <c r="N9" s="86" t="s">
        <v>160</v>
      </c>
      <c r="O9" s="86" t="s">
        <v>141</v>
      </c>
      <c r="P9" s="86" t="s">
        <v>142</v>
      </c>
      <c r="Q9" s="86" t="s">
        <v>133</v>
      </c>
      <c r="R9" s="86" t="s">
        <v>8</v>
      </c>
      <c r="S9" s="86" t="s">
        <v>9</v>
      </c>
      <c r="T9" s="86" t="s">
        <v>134</v>
      </c>
      <c r="U9" s="86" t="s">
        <v>145</v>
      </c>
      <c r="V9" s="86" t="s">
        <v>136</v>
      </c>
      <c r="W9" s="88" t="n">
        <f aca="false">CALCULATEBASEFINDING(G9,I9,J9,H9,K9)</f>
        <v>70</v>
      </c>
      <c r="X9" s="88" t="n">
        <f aca="false">CALCULATEATTACKSURFACE(M9,N9,L9,Q9,P9,O9)</f>
        <v>0.5325</v>
      </c>
      <c r="Y9" s="88" t="n">
        <f aca="false">CALCULATEENVIRONMENTAL(R9,S9,T9,V9,U9)</f>
        <v>0.699</v>
      </c>
      <c r="Z9" s="88" t="n">
        <f aca="false">W9*X9*Y9</f>
        <v>26.055225</v>
      </c>
      <c r="AA9" s="88"/>
      <c r="AB9" s="89" t="str">
        <f aca="false">INDEX(_lookup_heatmap_str, COUNTIF(_lookup_heatmap_CWSS_val, "&gt;"&amp;Z9)+1)</f>
        <v>Low</v>
      </c>
      <c r="AC9" s="90" t="s">
        <v>20</v>
      </c>
      <c r="AD9" s="91"/>
      <c r="AE9" s="92" t="str">
        <f aca="false">INDEX(_lookup_SafetyHeatMap,MATCH(AB9,_lookup_heatmap_str,0)+1,MATCH(AC9,_lookup_SafetyRating,0)+3)</f>
        <v>Controlled</v>
      </c>
      <c r="AF9" s="93"/>
      <c r="AG9" s="93"/>
      <c r="AH9" s="93"/>
      <c r="AI9" s="93"/>
      <c r="AJ9" s="93"/>
    </row>
    <row r="10" customFormat="false" ht="12.8" hidden="false" customHeight="false" outlineLevel="0" collapsed="false">
      <c r="A10" s="84"/>
      <c r="B10" s="85" t="s">
        <v>161</v>
      </c>
      <c r="C10" s="85"/>
      <c r="D10" s="85"/>
      <c r="E10" s="86"/>
      <c r="F10" s="84"/>
      <c r="G10" s="86" t="s">
        <v>7</v>
      </c>
      <c r="H10" s="86" t="s">
        <v>11</v>
      </c>
      <c r="I10" s="86" t="s">
        <v>120</v>
      </c>
      <c r="J10" s="87" t="s">
        <v>121</v>
      </c>
      <c r="K10" s="87" t="s">
        <v>122</v>
      </c>
      <c r="L10" s="86" t="s">
        <v>123</v>
      </c>
      <c r="M10" s="86" t="s">
        <v>11</v>
      </c>
      <c r="N10" s="86" t="s">
        <v>121</v>
      </c>
      <c r="O10" s="86" t="s">
        <v>124</v>
      </c>
      <c r="P10" s="86" t="s">
        <v>11</v>
      </c>
      <c r="Q10" s="86" t="s">
        <v>11</v>
      </c>
      <c r="R10" s="86" t="s">
        <v>7</v>
      </c>
      <c r="S10" s="86" t="s">
        <v>8</v>
      </c>
      <c r="T10" s="86" t="s">
        <v>125</v>
      </c>
      <c r="U10" s="86" t="s">
        <v>126</v>
      </c>
      <c r="V10" s="86" t="s">
        <v>11</v>
      </c>
      <c r="W10" s="88" t="n">
        <f aca="false">CALCULATEBASEFINDING(G10,I10,J10,H10,K10)</f>
        <v>80</v>
      </c>
      <c r="X10" s="88" t="n">
        <f aca="false">CALCULATEATTACKSURFACE(M10,N10,L10,Q10,P10,O10)</f>
        <v>0.85</v>
      </c>
      <c r="Y10" s="88" t="n">
        <f aca="false">CALCULATEENVIRONMENTAL(R10,S10,T10,V10,U10)</f>
        <v>1</v>
      </c>
      <c r="Z10" s="88" t="n">
        <f aca="false">W10*X10*Y10</f>
        <v>68</v>
      </c>
      <c r="AA10" s="88"/>
      <c r="AB10" s="89" t="str">
        <f aca="false">INDEX(_lookup_heatmap_str, COUNTIF(_lookup_heatmap_CWSS_val, "&gt;"&amp;Z10)+1)</f>
        <v>Medium</v>
      </c>
      <c r="AC10" s="90" t="s">
        <v>20</v>
      </c>
      <c r="AD10" s="91"/>
      <c r="AE10" s="92" t="str">
        <f aca="false">INDEX(_lookup_SafetyHeatMap,MATCH(AB10,_lookup_heatmap_str,0)+1,MATCH(AC10,_lookup_SafetyRating,0)+3)</f>
        <v>Controlled</v>
      </c>
      <c r="AF10" s="93"/>
      <c r="AG10" s="93"/>
      <c r="AH10" s="93"/>
      <c r="AI10" s="93"/>
      <c r="AJ10" s="93"/>
    </row>
    <row r="11" customFormat="false" ht="12.8" hidden="false" customHeight="false" outlineLevel="0" collapsed="false">
      <c r="A11" s="84"/>
      <c r="B11" s="85" t="s">
        <v>162</v>
      </c>
      <c r="C11" s="85"/>
      <c r="D11" s="85"/>
      <c r="E11" s="86"/>
      <c r="F11" s="84"/>
      <c r="G11" s="86" t="s">
        <v>7</v>
      </c>
      <c r="H11" s="86" t="s">
        <v>138</v>
      </c>
      <c r="I11" s="86" t="s">
        <v>120</v>
      </c>
      <c r="J11" s="87" t="s">
        <v>139</v>
      </c>
      <c r="K11" s="87" t="s">
        <v>122</v>
      </c>
      <c r="L11" s="86" t="s">
        <v>123</v>
      </c>
      <c r="M11" s="86" t="s">
        <v>11</v>
      </c>
      <c r="N11" s="86" t="s">
        <v>139</v>
      </c>
      <c r="O11" s="86" t="s">
        <v>124</v>
      </c>
      <c r="P11" s="86" t="s">
        <v>11</v>
      </c>
      <c r="Q11" s="86" t="s">
        <v>11</v>
      </c>
      <c r="R11" s="86" t="s">
        <v>7</v>
      </c>
      <c r="S11" s="86" t="s">
        <v>8</v>
      </c>
      <c r="T11" s="86" t="s">
        <v>125</v>
      </c>
      <c r="U11" s="86" t="s">
        <v>135</v>
      </c>
      <c r="V11" s="86" t="s">
        <v>136</v>
      </c>
      <c r="W11" s="88" t="n">
        <f aca="false">CALCULATEBASEFINDING(G11,I11,J11,H11,K11)</f>
        <v>72</v>
      </c>
      <c r="X11" s="88" t="n">
        <f aca="false">CALCULATEATTACKSURFACE(M11,N11,L11,Q11,P11,O11)</f>
        <v>0.77</v>
      </c>
      <c r="Y11" s="88" t="n">
        <f aca="false">CALCULATEENVIRONMENTAL(R11,S11,T11,V11,U11)</f>
        <v>0.9625</v>
      </c>
      <c r="Z11" s="88" t="n">
        <f aca="false">W11*X11*Y11</f>
        <v>53.361</v>
      </c>
      <c r="AA11" s="88"/>
      <c r="AB11" s="89" t="str">
        <f aca="false">INDEX(_lookup_heatmap_str, COUNTIF(_lookup_heatmap_CWSS_val, "&gt;"&amp;Z11)+1)</f>
        <v>Medium</v>
      </c>
      <c r="AC11" s="90" t="s">
        <v>20</v>
      </c>
      <c r="AD11" s="91"/>
      <c r="AE11" s="92" t="str">
        <f aca="false">INDEX(_lookup_SafetyHeatMap,MATCH(AB11,_lookup_heatmap_str,0)+1,MATCH(AC11,_lookup_SafetyRating,0)+3)</f>
        <v>Controlled</v>
      </c>
      <c r="AF11" s="93"/>
      <c r="AG11" s="93"/>
      <c r="AH11" s="93"/>
      <c r="AI11" s="93"/>
      <c r="AJ11" s="93"/>
    </row>
    <row r="12" customFormat="false" ht="12.8" hidden="false" customHeight="false" outlineLevel="0" collapsed="false">
      <c r="A12" s="84"/>
      <c r="B12" s="85" t="s">
        <v>163</v>
      </c>
      <c r="C12" s="85"/>
      <c r="D12" s="85"/>
      <c r="E12" s="86"/>
      <c r="F12" s="84"/>
      <c r="G12" s="86" t="s">
        <v>8</v>
      </c>
      <c r="H12" s="86" t="s">
        <v>164</v>
      </c>
      <c r="I12" s="86" t="s">
        <v>120</v>
      </c>
      <c r="J12" s="87" t="s">
        <v>148</v>
      </c>
      <c r="K12" s="87" t="s">
        <v>122</v>
      </c>
      <c r="L12" s="86" t="s">
        <v>123</v>
      </c>
      <c r="M12" s="86" t="s">
        <v>11</v>
      </c>
      <c r="N12" s="86" t="s">
        <v>148</v>
      </c>
      <c r="O12" s="86" t="s">
        <v>124</v>
      </c>
      <c r="P12" s="86" t="s">
        <v>11</v>
      </c>
      <c r="Q12" s="86" t="s">
        <v>11</v>
      </c>
      <c r="R12" s="86" t="s">
        <v>8</v>
      </c>
      <c r="S12" s="86" t="s">
        <v>8</v>
      </c>
      <c r="T12" s="86" t="s">
        <v>134</v>
      </c>
      <c r="U12" s="86" t="s">
        <v>135</v>
      </c>
      <c r="V12" s="86" t="s">
        <v>146</v>
      </c>
      <c r="W12" s="88" t="n">
        <f aca="false">CALCULATEBASEFINDING(G12,I12,J12,H12,K12)</f>
        <v>58</v>
      </c>
      <c r="X12" s="88" t="n">
        <f aca="false">CALCULATEATTACKSURFACE(M12,N12,L12,Q12,P12,O12)</f>
        <v>0.73</v>
      </c>
      <c r="Y12" s="88" t="n">
        <f aca="false">CALCULATEENVIRONMENTAL(R12,S12,T12,V12,U12)</f>
        <v>0.7875</v>
      </c>
      <c r="Z12" s="88" t="n">
        <f aca="false">W12*X12*Y12</f>
        <v>33.34275</v>
      </c>
      <c r="AA12" s="88"/>
      <c r="AB12" s="89" t="str">
        <f aca="false">INDEX(_lookup_heatmap_str, COUNTIF(_lookup_heatmap_CWSS_val, "&gt;"&amp;Z12)+1)</f>
        <v>Low</v>
      </c>
      <c r="AC12" s="90" t="s">
        <v>20</v>
      </c>
      <c r="AD12" s="91"/>
      <c r="AE12" s="92" t="str">
        <f aca="false">INDEX(_lookup_SafetyHeatMap,MATCH(AB12,_lookup_heatmap_str,0)+1,MATCH(AC12,_lookup_SafetyRating,0)+3)</f>
        <v>Controlled</v>
      </c>
      <c r="AF12" s="93"/>
      <c r="AG12" s="93"/>
      <c r="AH12" s="93"/>
      <c r="AI12" s="93"/>
      <c r="AJ12" s="93"/>
    </row>
  </sheetData>
  <mergeCells count="7">
    <mergeCell ref="A1:F1"/>
    <mergeCell ref="G1:K1"/>
    <mergeCell ref="L1:Q1"/>
    <mergeCell ref="R1:V1"/>
    <mergeCell ref="W1:AB1"/>
    <mergeCell ref="AC1:AD1"/>
    <mergeCell ref="AE1:AE2"/>
  </mergeCells>
  <conditionalFormatting sqref="AE3:AE12">
    <cfRule type="cellIs" priority="2" operator="equal" aboveAverage="0" equalAverage="0" bottom="0" percent="0" rank="0" text="" dxfId="12">
      <formula>"Controlled"</formula>
    </cfRule>
    <cfRule type="cellIs" priority="3" operator="equal" aboveAverage="0" equalAverage="0" bottom="0" percent="0" rank="0" text="" dxfId="13">
      <formula>"Uncontrolled"</formula>
    </cfRule>
  </conditionalFormatting>
  <dataValidations count="18">
    <dataValidation allowBlank="true" errorStyle="stop" operator="equal" showDropDown="false" showErrorMessage="true" showInputMessage="false" sqref="A2:F2 A3:D12 F3:F12 W3:AB12 AD3:AE12" type="none">
      <formula1>0</formula1>
      <formula2>0</formula2>
    </dataValidation>
    <dataValidation allowBlank="true" errorStyle="stop" operator="equal" showDropDown="false" showErrorMessage="true" showInputMessage="false" sqref="AC3:AC12" type="list">
      <formula1>_lookup_SafetyRating</formula1>
      <formula2>0</formula2>
    </dataValidation>
    <dataValidation allowBlank="true" errorStyle="stop" operator="equal" showDropDown="false" showErrorMessage="true" showInputMessage="false" sqref="G3:G12" type="list">
      <formula1>_lookup_CWSS_TI</formula1>
      <formula2>0</formula2>
    </dataValidation>
    <dataValidation allowBlank="true" errorStyle="stop" operator="equal" showDropDown="false" showErrorMessage="true" showInputMessage="false" sqref="H3:H12" type="list">
      <formula1>_lookup_CWSS_IC</formula1>
      <formula2>0</formula2>
    </dataValidation>
    <dataValidation allowBlank="true" errorStyle="stop" operator="equal" showDropDown="false" showErrorMessage="true" showInputMessage="false" sqref="L3:L12" type="list">
      <formula1>_lookup_CWSS_AV</formula1>
      <formula2>0</formula2>
    </dataValidation>
    <dataValidation allowBlank="true" errorStyle="stop" operator="equal" showDropDown="false" showErrorMessage="true" showInputMessage="false" sqref="I3:I12 M3:M12" type="list">
      <formula1>_lookup_CWSS_AP</formula1>
      <formula2>0</formula2>
    </dataValidation>
    <dataValidation allowBlank="true" errorStyle="stop" operator="equal" showDropDown="false" showErrorMessage="true" showInputMessage="false" sqref="R3:R12" type="list">
      <formula1>_lookup_CWSS_BI</formula1>
      <formula2>0</formula2>
    </dataValidation>
    <dataValidation allowBlank="true" errorStyle="stop" operator="equal" showDropDown="false" showErrorMessage="true" showInputMessage="false" sqref="S3:S12" type="list">
      <formula1>_lookup_CWSS_DI</formula1>
      <formula2>0</formula2>
    </dataValidation>
    <dataValidation allowBlank="true" errorStyle="stop" operator="equal" showDropDown="false" showErrorMessage="true" showInputMessage="false" sqref="E3:E12" type="list">
      <formula1>_lookup_STRIDE</formula1>
      <formula2>0</formula2>
    </dataValidation>
    <dataValidation allowBlank="true" errorStyle="stop" operator="equal" showDropDown="false" showErrorMessage="true" showInputMessage="false" sqref="J3:J12" type="list">
      <formula1>_lookup_CWSS_AL</formula1>
      <formula2>0</formula2>
    </dataValidation>
    <dataValidation allowBlank="true" errorStyle="stop" operator="equal" showDropDown="false" showErrorMessage="true" showInputMessage="false" sqref="K3:K12" type="list">
      <formula1>_lookup_CWSS_FC</formula1>
      <formula2>0</formula2>
    </dataValidation>
    <dataValidation allowBlank="true" errorStyle="stop" operator="equal" showDropDown="false" showErrorMessage="true" showInputMessage="false" sqref="N3:N12" type="list">
      <formula1>_lookup_CWSS_RL</formula1>
      <formula2>0</formula2>
    </dataValidation>
    <dataValidation allowBlank="true" errorStyle="stop" operator="equal" showDropDown="false" showErrorMessage="true" showInputMessage="false" sqref="O3:O12" type="list">
      <formula1>_lookup_CWSS_SC</formula1>
      <formula2>0</formula2>
    </dataValidation>
    <dataValidation allowBlank="true" errorStyle="stop" operator="equal" showDropDown="false" showErrorMessage="true" showInputMessage="false" sqref="P3:P12" type="list">
      <formula1>_lookup_CWSS_IN</formula1>
      <formula2>0</formula2>
    </dataValidation>
    <dataValidation allowBlank="true" errorStyle="stop" operator="equal" showDropDown="false" showErrorMessage="true" showInputMessage="false" sqref="Q3:Q12" type="list">
      <formula1>_lookup_CWSS_AS</formula1>
      <formula2>0</formula2>
    </dataValidation>
    <dataValidation allowBlank="true" errorStyle="stop" operator="equal" showDropDown="false" showErrorMessage="true" showInputMessage="false" sqref="T3:T12" type="list">
      <formula1>_lookup_CWSS_EX</formula1>
      <formula2>0</formula2>
    </dataValidation>
    <dataValidation allowBlank="true" errorStyle="stop" operator="equal" showDropDown="false" showErrorMessage="true" showInputMessage="false" sqref="U3:U12" type="list">
      <formula1>_lookup_CWSS_P</formula1>
      <formula2>0</formula2>
    </dataValidation>
    <dataValidation allowBlank="true" errorStyle="stop" operator="equal" showDropDown="false" showErrorMessage="true" showInputMessage="false" sqref="V3:V12" type="list">
      <formula1>_lookup_CWSS_EC</formula1>
      <formula2>0</formula2>
    </dataValidation>
  </dataValidations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808080"/>
    <pageSetUpPr fitToPage="false"/>
  </sheetPr>
  <dimension ref="A1:E7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H47" activeCellId="0" sqref="H47"/>
    </sheetView>
  </sheetViews>
  <sheetFormatPr defaultColWidth="11.53515625" defaultRowHeight="12.8" zeroHeight="false" outlineLevelRow="0" outlineLevelCol="0"/>
  <cols>
    <col collapsed="false" customWidth="false" hidden="false" outlineLevel="0" max="2" min="1" style="1" width="11.53"/>
    <col collapsed="false" customWidth="true" hidden="false" outlineLevel="0" max="3" min="3" style="1" width="20.49"/>
    <col collapsed="false" customWidth="true" hidden="false" outlineLevel="0" max="4" min="4" style="1" width="22.58"/>
    <col collapsed="false" customWidth="false" hidden="false" outlineLevel="0" max="16372" min="5" style="1" width="11.53"/>
  </cols>
  <sheetData>
    <row r="1" customFormat="false" ht="17.4" hidden="false" customHeight="true" outlineLevel="0" collapsed="false">
      <c r="A1" s="7"/>
      <c r="B1" s="7"/>
      <c r="C1" s="7"/>
      <c r="D1" s="7"/>
      <c r="E1" s="7"/>
    </row>
    <row r="2" customFormat="false" ht="17.4" hidden="false" customHeight="true" outlineLevel="0" collapsed="false">
      <c r="A2" s="7"/>
      <c r="B2" s="95" t="s">
        <v>31</v>
      </c>
      <c r="C2" s="95"/>
      <c r="D2" s="95"/>
      <c r="E2" s="7"/>
    </row>
    <row r="3" customFormat="false" ht="17.4" hidden="false" customHeight="true" outlineLevel="0" collapsed="false">
      <c r="A3" s="7"/>
      <c r="B3" s="96" t="s">
        <v>165</v>
      </c>
      <c r="C3" s="96" t="s">
        <v>166</v>
      </c>
      <c r="D3" s="96" t="s">
        <v>167</v>
      </c>
      <c r="E3" s="7"/>
    </row>
    <row r="4" customFormat="false" ht="17.4" hidden="false" customHeight="true" outlineLevel="0" collapsed="false">
      <c r="A4" s="7"/>
      <c r="B4" s="97" t="s">
        <v>168</v>
      </c>
      <c r="C4" s="98" t="s">
        <v>169</v>
      </c>
      <c r="D4" s="98" t="str">
        <f aca="false">C4&amp;" ("&amp;B4&amp;")"</f>
        <v>Yes (Y)</v>
      </c>
      <c r="E4" s="7"/>
    </row>
    <row r="5" customFormat="false" ht="17.4" hidden="false" customHeight="true" outlineLevel="0" collapsed="false">
      <c r="A5" s="7"/>
      <c r="B5" s="99" t="s">
        <v>170</v>
      </c>
      <c r="C5" s="100" t="s">
        <v>171</v>
      </c>
      <c r="D5" s="98" t="str">
        <f aca="false">C5&amp;" ("&amp;B5&amp;")"</f>
        <v>No (N)</v>
      </c>
      <c r="E5" s="7"/>
    </row>
    <row r="6" customFormat="false" ht="17.4" hidden="false" customHeight="true" outlineLevel="0" collapsed="false">
      <c r="A6" s="7"/>
      <c r="B6" s="7"/>
      <c r="C6" s="7"/>
      <c r="D6" s="7"/>
      <c r="E6" s="7"/>
    </row>
    <row r="7" customFormat="false" ht="17.4" hidden="false" customHeight="true" outlineLevel="0" collapsed="false">
      <c r="A7" s="7"/>
      <c r="B7" s="95" t="s">
        <v>94</v>
      </c>
      <c r="C7" s="95"/>
      <c r="D7" s="95"/>
      <c r="E7" s="7"/>
    </row>
    <row r="8" customFormat="false" ht="17.4" hidden="false" customHeight="true" outlineLevel="0" collapsed="false">
      <c r="A8" s="7"/>
      <c r="B8" s="96" t="s">
        <v>165</v>
      </c>
      <c r="C8" s="96" t="s">
        <v>166</v>
      </c>
      <c r="D8" s="96" t="s">
        <v>167</v>
      </c>
      <c r="E8" s="7"/>
    </row>
    <row r="9" customFormat="false" ht="17.4" hidden="false" customHeight="true" outlineLevel="0" collapsed="false">
      <c r="A9" s="7"/>
      <c r="B9" s="97" t="s">
        <v>172</v>
      </c>
      <c r="C9" s="98" t="s">
        <v>173</v>
      </c>
      <c r="D9" s="98" t="str">
        <f aca="false">C9&amp;" ("&amp;B9&amp;")"</f>
        <v>Spoofing (S)</v>
      </c>
      <c r="E9" s="7"/>
    </row>
    <row r="10" customFormat="false" ht="17.4" hidden="false" customHeight="true" outlineLevel="0" collapsed="false">
      <c r="A10" s="7"/>
      <c r="B10" s="99" t="s">
        <v>174</v>
      </c>
      <c r="C10" s="100" t="s">
        <v>175</v>
      </c>
      <c r="D10" s="98" t="str">
        <f aca="false">C10&amp;" ("&amp;B10&amp;")"</f>
        <v>Tampering (T)</v>
      </c>
      <c r="E10" s="7"/>
    </row>
    <row r="11" customFormat="false" ht="17.4" hidden="false" customHeight="true" outlineLevel="0" collapsed="false">
      <c r="A11" s="7"/>
      <c r="B11" s="99" t="s">
        <v>176</v>
      </c>
      <c r="C11" s="100" t="s">
        <v>177</v>
      </c>
      <c r="D11" s="98" t="str">
        <f aca="false">C11&amp;" ("&amp;B11&amp;")"</f>
        <v>Repudiation (R)</v>
      </c>
      <c r="E11" s="7"/>
    </row>
    <row r="12" customFormat="false" ht="17.4" hidden="false" customHeight="true" outlineLevel="0" collapsed="false">
      <c r="A12" s="7"/>
      <c r="B12" s="99" t="s">
        <v>178</v>
      </c>
      <c r="C12" s="100" t="s">
        <v>179</v>
      </c>
      <c r="D12" s="98" t="str">
        <f aca="false">C12&amp;" ("&amp;B12&amp;")"</f>
        <v>Information Disclosure (I)</v>
      </c>
      <c r="E12" s="7"/>
    </row>
    <row r="13" customFormat="false" ht="17.4" hidden="false" customHeight="true" outlineLevel="0" collapsed="false">
      <c r="A13" s="7"/>
      <c r="B13" s="99" t="s">
        <v>180</v>
      </c>
      <c r="C13" s="100" t="s">
        <v>181</v>
      </c>
      <c r="D13" s="98" t="str">
        <f aca="false">C13&amp;" ("&amp;B13&amp;")"</f>
        <v>Denial of Service (D)</v>
      </c>
      <c r="E13" s="7"/>
    </row>
    <row r="14" customFormat="false" ht="17.4" hidden="false" customHeight="true" outlineLevel="0" collapsed="false">
      <c r="A14" s="7"/>
      <c r="B14" s="99" t="s">
        <v>182</v>
      </c>
      <c r="C14" s="100" t="s">
        <v>183</v>
      </c>
      <c r="D14" s="98" t="str">
        <f aca="false">C14&amp;" ("&amp;B14&amp;")"</f>
        <v>Elevation of Privilege (E)</v>
      </c>
      <c r="E14" s="7"/>
    </row>
    <row r="15" customFormat="false" ht="17.4" hidden="false" customHeight="true" outlineLevel="0" collapsed="false">
      <c r="A15" s="7"/>
      <c r="B15" s="7"/>
      <c r="C15" s="7"/>
      <c r="D15" s="7"/>
      <c r="E15" s="7"/>
    </row>
    <row r="16" customFormat="false" ht="17.4" hidden="false" customHeight="true" outlineLevel="0" collapsed="false"/>
    <row r="17" customFormat="false" ht="17.4" hidden="false" customHeight="true" outlineLevel="0" collapsed="false"/>
    <row r="18" customFormat="false" ht="17.4" hidden="false" customHeight="true" outlineLevel="0" collapsed="false"/>
    <row r="19" customFormat="false" ht="17.4" hidden="false" customHeight="true" outlineLevel="0" collapsed="false"/>
    <row r="20" customFormat="false" ht="17.4" hidden="false" customHeight="true" outlineLevel="0" collapsed="false"/>
    <row r="21" customFormat="false" ht="17.4" hidden="false" customHeight="true" outlineLevel="0" collapsed="false"/>
    <row r="22" customFormat="false" ht="17.4" hidden="false" customHeight="true" outlineLevel="0" collapsed="false"/>
    <row r="23" customFormat="false" ht="17.4" hidden="false" customHeight="true" outlineLevel="0" collapsed="false"/>
    <row r="24" customFormat="false" ht="17.4" hidden="false" customHeight="true" outlineLevel="0" collapsed="false"/>
    <row r="25" customFormat="false" ht="17.4" hidden="false" customHeight="true" outlineLevel="0" collapsed="false"/>
    <row r="26" customFormat="false" ht="17.4" hidden="false" customHeight="true" outlineLevel="0" collapsed="false"/>
    <row r="27" customFormat="false" ht="17.4" hidden="false" customHeight="true" outlineLevel="0" collapsed="false"/>
    <row r="28" customFormat="false" ht="17.4" hidden="false" customHeight="true" outlineLevel="0" collapsed="false"/>
    <row r="29" customFormat="false" ht="17.4" hidden="false" customHeight="true" outlineLevel="0" collapsed="false"/>
    <row r="30" customFormat="false" ht="17.4" hidden="false" customHeight="true" outlineLevel="0" collapsed="false"/>
    <row r="31" customFormat="false" ht="17.4" hidden="false" customHeight="true" outlineLevel="0" collapsed="false"/>
    <row r="32" customFormat="false" ht="17.4" hidden="false" customHeight="true" outlineLevel="0" collapsed="false"/>
    <row r="33" customFormat="false" ht="17.4" hidden="false" customHeight="true" outlineLevel="0" collapsed="false"/>
    <row r="34" customFormat="false" ht="17.4" hidden="false" customHeight="true" outlineLevel="0" collapsed="false"/>
    <row r="35" customFormat="false" ht="17.4" hidden="false" customHeight="true" outlineLevel="0" collapsed="false"/>
    <row r="36" customFormat="false" ht="17.4" hidden="false" customHeight="true" outlineLevel="0" collapsed="false"/>
    <row r="37" customFormat="false" ht="17.4" hidden="false" customHeight="true" outlineLevel="0" collapsed="false"/>
    <row r="38" customFormat="false" ht="17.4" hidden="false" customHeight="true" outlineLevel="0" collapsed="false"/>
    <row r="39" customFormat="false" ht="17.4" hidden="false" customHeight="true" outlineLevel="0" collapsed="false"/>
    <row r="40" customFormat="false" ht="17.4" hidden="false" customHeight="true" outlineLevel="0" collapsed="false"/>
    <row r="41" customFormat="false" ht="17.4" hidden="false" customHeight="true" outlineLevel="0" collapsed="false"/>
    <row r="42" customFormat="false" ht="17.4" hidden="false" customHeight="true" outlineLevel="0" collapsed="false"/>
    <row r="43" customFormat="false" ht="17.4" hidden="false" customHeight="true" outlineLevel="0" collapsed="false"/>
    <row r="44" customFormat="false" ht="17.4" hidden="false" customHeight="true" outlineLevel="0" collapsed="false"/>
    <row r="45" customFormat="false" ht="17.4" hidden="false" customHeight="true" outlineLevel="0" collapsed="false"/>
    <row r="46" customFormat="false" ht="17.4" hidden="false" customHeight="true" outlineLevel="0" collapsed="false"/>
    <row r="47" customFormat="false" ht="17.4" hidden="false" customHeight="true" outlineLevel="0" collapsed="false"/>
    <row r="48" customFormat="false" ht="17.4" hidden="false" customHeight="true" outlineLevel="0" collapsed="false"/>
    <row r="49" customFormat="false" ht="17.4" hidden="false" customHeight="true" outlineLevel="0" collapsed="false"/>
    <row r="50" customFormat="false" ht="17.4" hidden="false" customHeight="true" outlineLevel="0" collapsed="false"/>
    <row r="51" customFormat="false" ht="17.4" hidden="false" customHeight="true" outlineLevel="0" collapsed="false"/>
    <row r="52" customFormat="false" ht="17.4" hidden="false" customHeight="true" outlineLevel="0" collapsed="false"/>
    <row r="53" customFormat="false" ht="17.4" hidden="false" customHeight="true" outlineLevel="0" collapsed="false"/>
    <row r="54" customFormat="false" ht="17.4" hidden="false" customHeight="true" outlineLevel="0" collapsed="false"/>
    <row r="55" customFormat="false" ht="17.4" hidden="false" customHeight="true" outlineLevel="0" collapsed="false"/>
    <row r="56" customFormat="false" ht="17.4" hidden="false" customHeight="true" outlineLevel="0" collapsed="false"/>
    <row r="57" customFormat="false" ht="17.4" hidden="false" customHeight="true" outlineLevel="0" collapsed="false"/>
    <row r="58" customFormat="false" ht="17.4" hidden="false" customHeight="true" outlineLevel="0" collapsed="false"/>
    <row r="59" customFormat="false" ht="17.4" hidden="false" customHeight="true" outlineLevel="0" collapsed="false"/>
    <row r="60" customFormat="false" ht="17.4" hidden="false" customHeight="true" outlineLevel="0" collapsed="false"/>
    <row r="61" customFormat="false" ht="17.4" hidden="false" customHeight="true" outlineLevel="0" collapsed="false"/>
    <row r="62" customFormat="false" ht="17.4" hidden="false" customHeight="true" outlineLevel="0" collapsed="false"/>
    <row r="63" customFormat="false" ht="17.4" hidden="false" customHeight="true" outlineLevel="0" collapsed="false"/>
    <row r="64" customFormat="false" ht="17.4" hidden="false" customHeight="true" outlineLevel="0" collapsed="false"/>
    <row r="65" customFormat="false" ht="17.4" hidden="false" customHeight="true" outlineLevel="0" collapsed="false"/>
    <row r="66" customFormat="false" ht="16.4" hidden="false" customHeight="true" outlineLevel="0" collapsed="false"/>
    <row r="73" customFormat="false" ht="16.4" hidden="false" customHeight="true" outlineLevel="0" collapsed="false"/>
  </sheetData>
  <mergeCells count="2">
    <mergeCell ref="B2:D2"/>
    <mergeCell ref="B7:D7"/>
  </mergeCells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808080"/>
    <pageSetUpPr fitToPage="false"/>
  </sheetPr>
  <dimension ref="A1:I87"/>
  <sheetViews>
    <sheetView showFormulas="false" showGridLines="true" showRowColHeaders="true" showZeros="true" rightToLeft="false" tabSelected="false" showOutlineSymbols="true" defaultGridColor="true" view="normal" topLeftCell="B1" colorId="64" zoomScale="100" zoomScaleNormal="100" zoomScalePageLayoutView="100" workbookViewId="0">
      <selection pane="topLeft" activeCell="L9" activeCellId="0" sqref="L9"/>
    </sheetView>
  </sheetViews>
  <sheetFormatPr defaultColWidth="11.53515625" defaultRowHeight="17.4" zeroHeight="false" outlineLevelRow="0" outlineLevelCol="0"/>
  <cols>
    <col collapsed="false" customWidth="true" hidden="false" outlineLevel="0" max="2" min="1" style="1" width="9.08"/>
    <col collapsed="false" customWidth="true" hidden="false" outlineLevel="0" max="4" min="3" style="1" width="20.43"/>
    <col collapsed="false" customWidth="false" hidden="false" outlineLevel="0" max="5" min="5" style="1" width="11.53"/>
    <col collapsed="false" customWidth="true" hidden="false" outlineLevel="0" max="6" min="6" style="1" width="9.08"/>
    <col collapsed="false" customWidth="true" hidden="false" outlineLevel="0" max="7" min="7" style="1" width="20.43"/>
    <col collapsed="false" customWidth="true" hidden="false" outlineLevel="0" max="8" min="8" style="1" width="24.92"/>
    <col collapsed="false" customWidth="false" hidden="false" outlineLevel="0" max="16376" min="9" style="1" width="11.53"/>
  </cols>
  <sheetData>
    <row r="1" customFormat="false" ht="17.4" hidden="false" customHeight="true" outlineLevel="0" collapsed="false">
      <c r="A1" s="7"/>
      <c r="B1" s="101" t="s">
        <v>184</v>
      </c>
      <c r="C1" s="7"/>
      <c r="D1" s="7"/>
      <c r="E1" s="7"/>
      <c r="F1" s="101" t="s">
        <v>185</v>
      </c>
      <c r="G1" s="7"/>
      <c r="H1" s="7"/>
      <c r="I1" s="7"/>
    </row>
    <row r="2" customFormat="false" ht="17.4" hidden="false" customHeight="true" outlineLevel="0" collapsed="false">
      <c r="A2" s="7"/>
      <c r="B2" s="95" t="s">
        <v>60</v>
      </c>
      <c r="C2" s="95"/>
      <c r="D2" s="95"/>
      <c r="E2" s="7"/>
      <c r="F2" s="95" t="s">
        <v>50</v>
      </c>
      <c r="G2" s="95"/>
      <c r="H2" s="95"/>
      <c r="I2" s="7"/>
    </row>
    <row r="3" customFormat="false" ht="17.4" hidden="false" customHeight="true" outlineLevel="0" collapsed="false">
      <c r="A3" s="7"/>
      <c r="B3" s="96" t="s">
        <v>165</v>
      </c>
      <c r="C3" s="96" t="s">
        <v>166</v>
      </c>
      <c r="D3" s="96" t="s">
        <v>167</v>
      </c>
      <c r="E3" s="7"/>
      <c r="F3" s="96" t="s">
        <v>165</v>
      </c>
      <c r="G3" s="96" t="s">
        <v>166</v>
      </c>
      <c r="H3" s="96" t="s">
        <v>167</v>
      </c>
      <c r="I3" s="7"/>
    </row>
    <row r="4" customFormat="false" ht="17.4" hidden="false" customHeight="true" outlineLevel="0" collapsed="false">
      <c r="A4" s="7"/>
      <c r="B4" s="97" t="s">
        <v>170</v>
      </c>
      <c r="C4" s="98" t="s">
        <v>155</v>
      </c>
      <c r="D4" s="98" t="str">
        <f aca="false">C4&amp;" ("&amp;B4&amp;")"</f>
        <v>Network (N)</v>
      </c>
      <c r="E4" s="7"/>
      <c r="F4" s="97" t="s">
        <v>186</v>
      </c>
      <c r="G4" s="98" t="s">
        <v>187</v>
      </c>
      <c r="H4" s="98" t="str">
        <f aca="false">G4&amp;" ("&amp;F4&amp;")"</f>
        <v>Not Defined (X)</v>
      </c>
      <c r="I4" s="7"/>
    </row>
    <row r="5" customFormat="false" ht="17.4" hidden="false" customHeight="true" outlineLevel="0" collapsed="false">
      <c r="A5" s="7"/>
      <c r="B5" s="99" t="s">
        <v>188</v>
      </c>
      <c r="C5" s="100" t="s">
        <v>189</v>
      </c>
      <c r="D5" s="98" t="str">
        <f aca="false">C5&amp;" ("&amp;B5&amp;")"</f>
        <v>Adjacent (A)</v>
      </c>
      <c r="E5" s="7"/>
      <c r="F5" s="99" t="s">
        <v>170</v>
      </c>
      <c r="G5" s="100" t="s">
        <v>20</v>
      </c>
      <c r="H5" s="98" t="str">
        <f aca="false">G5&amp;" ("&amp;F5&amp;")"</f>
        <v>Negligible (N)</v>
      </c>
      <c r="I5" s="7"/>
    </row>
    <row r="6" customFormat="false" ht="17.4" hidden="false" customHeight="true" outlineLevel="0" collapsed="false">
      <c r="A6" s="7"/>
      <c r="B6" s="97" t="s">
        <v>190</v>
      </c>
      <c r="C6" s="98" t="s">
        <v>150</v>
      </c>
      <c r="D6" s="98" t="str">
        <f aca="false">C6&amp;" ("&amp;B6&amp;")"</f>
        <v>Local (L)</v>
      </c>
      <c r="E6" s="7"/>
      <c r="F6" s="97" t="s">
        <v>191</v>
      </c>
      <c r="G6" s="98" t="s">
        <v>192</v>
      </c>
      <c r="H6" s="98" t="str">
        <f aca="false">G6&amp;" ("&amp;F6&amp;")"</f>
        <v>Present (P)</v>
      </c>
      <c r="I6" s="7"/>
    </row>
    <row r="7" customFormat="false" ht="17.4" hidden="false" customHeight="true" outlineLevel="0" collapsed="false">
      <c r="A7" s="7"/>
      <c r="B7" s="99" t="s">
        <v>191</v>
      </c>
      <c r="C7" s="100" t="s">
        <v>157</v>
      </c>
      <c r="D7" s="98" t="str">
        <f aca="false">C7&amp;" ("&amp;B7&amp;")"</f>
        <v>Physical (P)</v>
      </c>
      <c r="E7" s="7"/>
      <c r="F7" s="7"/>
      <c r="G7" s="7"/>
      <c r="H7" s="7"/>
      <c r="I7" s="7"/>
    </row>
    <row r="8" customFormat="false" ht="17.4" hidden="false" customHeight="true" outlineLevel="0" collapsed="false">
      <c r="A8" s="7"/>
      <c r="B8" s="7"/>
      <c r="C8" s="7"/>
      <c r="D8" s="7"/>
      <c r="E8" s="7"/>
      <c r="F8" s="95" t="s">
        <v>193</v>
      </c>
      <c r="G8" s="95"/>
      <c r="H8" s="95"/>
      <c r="I8" s="7"/>
    </row>
    <row r="9" customFormat="false" ht="17.4" hidden="false" customHeight="true" outlineLevel="0" collapsed="false">
      <c r="A9" s="7"/>
      <c r="B9" s="102" t="s">
        <v>61</v>
      </c>
      <c r="C9" s="102"/>
      <c r="D9" s="102"/>
      <c r="E9" s="7"/>
      <c r="F9" s="96" t="s">
        <v>165</v>
      </c>
      <c r="G9" s="96" t="s">
        <v>166</v>
      </c>
      <c r="H9" s="96" t="s">
        <v>167</v>
      </c>
      <c r="I9" s="7"/>
    </row>
    <row r="10" customFormat="false" ht="17.4" hidden="false" customHeight="true" outlineLevel="0" collapsed="false">
      <c r="A10" s="7"/>
      <c r="B10" s="96" t="s">
        <v>165</v>
      </c>
      <c r="C10" s="96" t="s">
        <v>166</v>
      </c>
      <c r="D10" s="96" t="s">
        <v>167</v>
      </c>
      <c r="E10" s="7"/>
      <c r="F10" s="97" t="s">
        <v>186</v>
      </c>
      <c r="G10" s="98" t="s">
        <v>187</v>
      </c>
      <c r="H10" s="98" t="str">
        <f aca="false">G10&amp;" ("&amp;F10&amp;")"</f>
        <v>Not Defined (X)</v>
      </c>
      <c r="I10" s="7"/>
    </row>
    <row r="11" customFormat="false" ht="17.4" hidden="false" customHeight="true" outlineLevel="0" collapsed="false">
      <c r="A11" s="7"/>
      <c r="B11" s="97" t="s">
        <v>190</v>
      </c>
      <c r="C11" s="98" t="s">
        <v>10</v>
      </c>
      <c r="D11" s="98" t="str">
        <f aca="false">C11&amp;" ("&amp;B11&amp;")"</f>
        <v>Low (L)</v>
      </c>
      <c r="E11" s="7"/>
      <c r="F11" s="97" t="s">
        <v>170</v>
      </c>
      <c r="G11" s="98" t="s">
        <v>171</v>
      </c>
      <c r="H11" s="98" t="str">
        <f aca="false">G11&amp;" ("&amp;F11&amp;")"</f>
        <v>No (N)</v>
      </c>
      <c r="I11" s="7"/>
    </row>
    <row r="12" customFormat="false" ht="17.4" hidden="false" customHeight="true" outlineLevel="0" collapsed="false">
      <c r="A12" s="7"/>
      <c r="B12" s="99" t="s">
        <v>194</v>
      </c>
      <c r="C12" s="100" t="s">
        <v>8</v>
      </c>
      <c r="D12" s="98" t="str">
        <f aca="false">C12&amp;" ("&amp;B12&amp;")"</f>
        <v>High (H)</v>
      </c>
      <c r="E12" s="7"/>
      <c r="F12" s="99" t="s">
        <v>168</v>
      </c>
      <c r="G12" s="100" t="s">
        <v>169</v>
      </c>
      <c r="H12" s="98" t="str">
        <f aca="false">G12&amp;" ("&amp;F12&amp;")"</f>
        <v>Yes (Y)</v>
      </c>
      <c r="I12" s="7"/>
    </row>
    <row r="13" customFormat="false" ht="17.4" hidden="false" customHeight="true" outlineLevel="0" collapsed="false">
      <c r="A13" s="7"/>
      <c r="B13" s="7"/>
      <c r="C13" s="7"/>
      <c r="D13" s="7"/>
      <c r="E13" s="7"/>
      <c r="F13" s="7"/>
      <c r="G13" s="7"/>
      <c r="H13" s="7"/>
      <c r="I13" s="7"/>
    </row>
    <row r="14" customFormat="false" ht="17.4" hidden="false" customHeight="true" outlineLevel="0" collapsed="false">
      <c r="A14" s="7"/>
      <c r="B14" s="102" t="s">
        <v>62</v>
      </c>
      <c r="C14" s="102"/>
      <c r="D14" s="102"/>
      <c r="E14" s="7"/>
      <c r="F14" s="95" t="s">
        <v>195</v>
      </c>
      <c r="G14" s="95"/>
      <c r="H14" s="95"/>
      <c r="I14" s="7"/>
    </row>
    <row r="15" customFormat="false" ht="17.4" hidden="false" customHeight="true" outlineLevel="0" collapsed="false">
      <c r="A15" s="7"/>
      <c r="B15" s="96" t="s">
        <v>165</v>
      </c>
      <c r="C15" s="96" t="s">
        <v>166</v>
      </c>
      <c r="D15" s="96" t="s">
        <v>167</v>
      </c>
      <c r="E15" s="7"/>
      <c r="F15" s="96" t="s">
        <v>165</v>
      </c>
      <c r="G15" s="96" t="s">
        <v>166</v>
      </c>
      <c r="H15" s="96" t="s">
        <v>167</v>
      </c>
      <c r="I15" s="7"/>
    </row>
    <row r="16" customFormat="false" ht="17.4" hidden="false" customHeight="true" outlineLevel="0" collapsed="false">
      <c r="A16" s="7"/>
      <c r="B16" s="97" t="s">
        <v>170</v>
      </c>
      <c r="C16" s="98" t="s">
        <v>11</v>
      </c>
      <c r="D16" s="98" t="str">
        <f aca="false">C16&amp;" ("&amp;B16&amp;")"</f>
        <v>None (N)</v>
      </c>
      <c r="E16" s="7"/>
      <c r="F16" s="97" t="s">
        <v>186</v>
      </c>
      <c r="G16" s="98" t="s">
        <v>187</v>
      </c>
      <c r="H16" s="98" t="str">
        <f aca="false">G16&amp;" ("&amp;F16&amp;")"</f>
        <v>Not Defined (X)</v>
      </c>
      <c r="I16" s="7"/>
    </row>
    <row r="17" customFormat="false" ht="17.4" hidden="false" customHeight="true" outlineLevel="0" collapsed="false">
      <c r="A17" s="7"/>
      <c r="B17" s="99" t="s">
        <v>191</v>
      </c>
      <c r="C17" s="100" t="s">
        <v>192</v>
      </c>
      <c r="D17" s="98" t="str">
        <f aca="false">C17&amp;" ("&amp;B17&amp;")"</f>
        <v>Present (P)</v>
      </c>
      <c r="E17" s="7"/>
      <c r="F17" s="97" t="s">
        <v>188</v>
      </c>
      <c r="G17" s="98" t="s">
        <v>196</v>
      </c>
      <c r="H17" s="98" t="str">
        <f aca="false">G17&amp;" ("&amp;F17&amp;")"</f>
        <v>Automatic (A)</v>
      </c>
      <c r="I17" s="7"/>
    </row>
    <row r="18" customFormat="false" ht="17.4" hidden="false" customHeight="true" outlineLevel="0" collapsed="false">
      <c r="A18" s="7"/>
      <c r="B18" s="7"/>
      <c r="C18" s="7"/>
      <c r="D18" s="7"/>
      <c r="E18" s="7"/>
      <c r="F18" s="97" t="s">
        <v>197</v>
      </c>
      <c r="G18" s="98" t="s">
        <v>198</v>
      </c>
      <c r="H18" s="98" t="str">
        <f aca="false">G18&amp;" ("&amp;F18&amp;")"</f>
        <v>User (U)</v>
      </c>
      <c r="I18" s="7"/>
    </row>
    <row r="19" customFormat="false" ht="17.4" hidden="false" customHeight="true" outlineLevel="0" collapsed="false">
      <c r="A19" s="7"/>
      <c r="B19" s="102" t="s">
        <v>199</v>
      </c>
      <c r="C19" s="102"/>
      <c r="D19" s="102"/>
      <c r="E19" s="7"/>
      <c r="F19" s="99" t="s">
        <v>178</v>
      </c>
      <c r="G19" s="100" t="s">
        <v>200</v>
      </c>
      <c r="H19" s="98" t="str">
        <f aca="false">G19&amp;" ("&amp;F19&amp;")"</f>
        <v>Irrecoverable (I)</v>
      </c>
      <c r="I19" s="7"/>
    </row>
    <row r="20" customFormat="false" ht="17.4" hidden="false" customHeight="true" outlineLevel="0" collapsed="false">
      <c r="A20" s="7"/>
      <c r="B20" s="96" t="s">
        <v>165</v>
      </c>
      <c r="C20" s="96" t="s">
        <v>166</v>
      </c>
      <c r="D20" s="96" t="s">
        <v>167</v>
      </c>
      <c r="E20" s="7"/>
      <c r="F20" s="7"/>
      <c r="G20" s="7"/>
      <c r="H20" s="7"/>
      <c r="I20" s="7"/>
    </row>
    <row r="21" customFormat="false" ht="17.4" hidden="false" customHeight="true" outlineLevel="0" collapsed="false">
      <c r="A21" s="7"/>
      <c r="B21" s="97" t="s">
        <v>170</v>
      </c>
      <c r="C21" s="98" t="s">
        <v>11</v>
      </c>
      <c r="D21" s="98" t="str">
        <f aca="false">C21&amp;" ("&amp;B21&amp;")"</f>
        <v>None (N)</v>
      </c>
      <c r="E21" s="7"/>
      <c r="F21" s="95" t="s">
        <v>201</v>
      </c>
      <c r="G21" s="95"/>
      <c r="H21" s="95"/>
      <c r="I21" s="7"/>
    </row>
    <row r="22" customFormat="false" ht="17.4" hidden="false" customHeight="true" outlineLevel="0" collapsed="false">
      <c r="A22" s="7"/>
      <c r="B22" s="99" t="s">
        <v>190</v>
      </c>
      <c r="C22" s="100" t="s">
        <v>10</v>
      </c>
      <c r="D22" s="98" t="str">
        <f aca="false">C22&amp;" ("&amp;B22&amp;")"</f>
        <v>Low (L)</v>
      </c>
      <c r="E22" s="7"/>
      <c r="F22" s="96" t="s">
        <v>165</v>
      </c>
      <c r="G22" s="96" t="s">
        <v>166</v>
      </c>
      <c r="H22" s="96" t="s">
        <v>167</v>
      </c>
      <c r="I22" s="7"/>
    </row>
    <row r="23" customFormat="false" ht="17.4" hidden="false" customHeight="true" outlineLevel="0" collapsed="false">
      <c r="A23" s="7"/>
      <c r="B23" s="97" t="s">
        <v>194</v>
      </c>
      <c r="C23" s="98" t="s">
        <v>8</v>
      </c>
      <c r="D23" s="98" t="str">
        <f aca="false">C23&amp;" ("&amp;B23&amp;")"</f>
        <v>High (H)</v>
      </c>
      <c r="E23" s="7"/>
      <c r="F23" s="97" t="s">
        <v>186</v>
      </c>
      <c r="G23" s="98" t="s">
        <v>187</v>
      </c>
      <c r="H23" s="98" t="str">
        <f aca="false">G23&amp;" ("&amp;F23&amp;")"</f>
        <v>Not Defined (X)</v>
      </c>
      <c r="I23" s="7"/>
    </row>
    <row r="24" customFormat="false" ht="17.4" hidden="false" customHeight="true" outlineLevel="0" collapsed="false">
      <c r="A24" s="7"/>
      <c r="B24" s="7"/>
      <c r="C24" s="7"/>
      <c r="D24" s="7"/>
      <c r="E24" s="7"/>
      <c r="F24" s="99" t="s">
        <v>190</v>
      </c>
      <c r="G24" s="100" t="s">
        <v>202</v>
      </c>
      <c r="H24" s="98" t="str">
        <f aca="false">G24&amp;" ("&amp;F24&amp;")"</f>
        <v>Diffuse (L)</v>
      </c>
      <c r="I24" s="7"/>
    </row>
    <row r="25" customFormat="false" ht="17.4" hidden="false" customHeight="true" outlineLevel="0" collapsed="false">
      <c r="A25" s="7"/>
      <c r="B25" s="102" t="s">
        <v>203</v>
      </c>
      <c r="C25" s="102"/>
      <c r="D25" s="102"/>
      <c r="E25" s="7"/>
      <c r="F25" s="97" t="s">
        <v>194</v>
      </c>
      <c r="G25" s="98" t="s">
        <v>204</v>
      </c>
      <c r="H25" s="98" t="str">
        <f aca="false">G25&amp;" ("&amp;F25&amp;")"</f>
        <v>Concentrated (H)</v>
      </c>
      <c r="I25" s="7"/>
    </row>
    <row r="26" customFormat="false" ht="17.4" hidden="false" customHeight="true" outlineLevel="0" collapsed="false">
      <c r="A26" s="7"/>
      <c r="B26" s="96" t="s">
        <v>165</v>
      </c>
      <c r="C26" s="96" t="s">
        <v>166</v>
      </c>
      <c r="D26" s="96" t="s">
        <v>167</v>
      </c>
      <c r="E26" s="7"/>
      <c r="F26" s="7"/>
      <c r="G26" s="7"/>
      <c r="H26" s="7"/>
      <c r="I26" s="7"/>
    </row>
    <row r="27" customFormat="false" ht="17.4" hidden="false" customHeight="true" outlineLevel="0" collapsed="false">
      <c r="A27" s="7"/>
      <c r="B27" s="97" t="s">
        <v>170</v>
      </c>
      <c r="C27" s="98" t="s">
        <v>11</v>
      </c>
      <c r="D27" s="98" t="str">
        <f aca="false">C27&amp;" ("&amp;B27&amp;")"</f>
        <v>None (N)</v>
      </c>
      <c r="E27" s="7"/>
      <c r="F27" s="95" t="s">
        <v>205</v>
      </c>
      <c r="G27" s="95"/>
      <c r="H27" s="95"/>
      <c r="I27" s="7"/>
    </row>
    <row r="28" customFormat="false" ht="17.4" hidden="false" customHeight="true" outlineLevel="0" collapsed="false">
      <c r="A28" s="7"/>
      <c r="B28" s="99" t="s">
        <v>191</v>
      </c>
      <c r="C28" s="100" t="s">
        <v>206</v>
      </c>
      <c r="D28" s="98" t="str">
        <f aca="false">C28&amp;" ("&amp;B28&amp;")"</f>
        <v>Passive (P)</v>
      </c>
      <c r="E28" s="7"/>
      <c r="F28" s="96" t="s">
        <v>165</v>
      </c>
      <c r="G28" s="96" t="s">
        <v>166</v>
      </c>
      <c r="H28" s="96" t="s">
        <v>167</v>
      </c>
      <c r="I28" s="7"/>
    </row>
    <row r="29" customFormat="false" ht="17.4" hidden="false" customHeight="true" outlineLevel="0" collapsed="false">
      <c r="A29" s="7"/>
      <c r="B29" s="97" t="s">
        <v>188</v>
      </c>
      <c r="C29" s="98" t="s">
        <v>125</v>
      </c>
      <c r="D29" s="98" t="str">
        <f aca="false">C29&amp;" ("&amp;B29&amp;")"</f>
        <v>Active (A)</v>
      </c>
      <c r="E29" s="7"/>
      <c r="F29" s="97" t="s">
        <v>186</v>
      </c>
      <c r="G29" s="98" t="s">
        <v>187</v>
      </c>
      <c r="H29" s="98" t="str">
        <f aca="false">G29&amp;" ("&amp;F29&amp;")"</f>
        <v>Not Defined (X)</v>
      </c>
      <c r="I29" s="7"/>
    </row>
    <row r="30" customFormat="false" ht="17.4" hidden="false" customHeight="true" outlineLevel="0" collapsed="false">
      <c r="A30" s="7"/>
      <c r="B30" s="7"/>
      <c r="C30" s="7"/>
      <c r="D30" s="7"/>
      <c r="E30" s="7"/>
      <c r="F30" s="97" t="s">
        <v>190</v>
      </c>
      <c r="G30" s="98" t="s">
        <v>10</v>
      </c>
      <c r="H30" s="98" t="str">
        <f aca="false">G30&amp;" ("&amp;F30&amp;")"</f>
        <v>Low (L)</v>
      </c>
      <c r="I30" s="7"/>
    </row>
    <row r="31" customFormat="false" ht="17.4" hidden="false" customHeight="true" outlineLevel="0" collapsed="false">
      <c r="A31" s="7"/>
      <c r="B31" s="102" t="s">
        <v>207</v>
      </c>
      <c r="C31" s="102"/>
      <c r="D31" s="102"/>
      <c r="E31" s="7"/>
      <c r="F31" s="99" t="s">
        <v>208</v>
      </c>
      <c r="G31" s="100" t="s">
        <v>9</v>
      </c>
      <c r="H31" s="98" t="str">
        <f aca="false">G31&amp;" ("&amp;F31&amp;")"</f>
        <v>Medium (M)</v>
      </c>
      <c r="I31" s="7"/>
    </row>
    <row r="32" customFormat="false" ht="17.4" hidden="false" customHeight="true" outlineLevel="0" collapsed="false">
      <c r="A32" s="7"/>
      <c r="B32" s="96" t="s">
        <v>165</v>
      </c>
      <c r="C32" s="96" t="s">
        <v>166</v>
      </c>
      <c r="D32" s="96" t="s">
        <v>167</v>
      </c>
      <c r="E32" s="7"/>
      <c r="F32" s="97" t="s">
        <v>194</v>
      </c>
      <c r="G32" s="98" t="s">
        <v>8</v>
      </c>
      <c r="H32" s="98" t="str">
        <f aca="false">G32&amp;" ("&amp;F32&amp;")"</f>
        <v>High (H)</v>
      </c>
      <c r="I32" s="7"/>
    </row>
    <row r="33" customFormat="false" ht="17.4" hidden="false" customHeight="true" outlineLevel="0" collapsed="false">
      <c r="A33" s="7"/>
      <c r="B33" s="97" t="s">
        <v>194</v>
      </c>
      <c r="C33" s="98" t="s">
        <v>8</v>
      </c>
      <c r="D33" s="98" t="str">
        <f aca="false">C33&amp;" ("&amp;B33&amp;")"</f>
        <v>High (H)</v>
      </c>
      <c r="E33" s="7"/>
      <c r="F33" s="7"/>
      <c r="G33" s="7"/>
      <c r="H33" s="7"/>
      <c r="I33" s="7"/>
    </row>
    <row r="34" customFormat="false" ht="17.4" hidden="false" customHeight="true" outlineLevel="0" collapsed="false">
      <c r="A34" s="7"/>
      <c r="B34" s="99" t="s">
        <v>190</v>
      </c>
      <c r="C34" s="100" t="s">
        <v>10</v>
      </c>
      <c r="D34" s="98" t="str">
        <f aca="false">C34&amp;" ("&amp;B34&amp;")"</f>
        <v>Low (L)</v>
      </c>
      <c r="E34" s="7"/>
      <c r="F34" s="95" t="s">
        <v>209</v>
      </c>
      <c r="G34" s="95"/>
      <c r="H34" s="95"/>
      <c r="I34" s="7"/>
    </row>
    <row r="35" customFormat="false" ht="17.4" hidden="false" customHeight="true" outlineLevel="0" collapsed="false">
      <c r="A35" s="7"/>
      <c r="B35" s="97" t="s">
        <v>170</v>
      </c>
      <c r="C35" s="98" t="s">
        <v>11</v>
      </c>
      <c r="D35" s="98" t="str">
        <f aca="false">C35&amp;" ("&amp;B35&amp;")"</f>
        <v>None (N)</v>
      </c>
      <c r="E35" s="7"/>
      <c r="F35" s="96" t="s">
        <v>165</v>
      </c>
      <c r="G35" s="96" t="s">
        <v>166</v>
      </c>
      <c r="H35" s="96" t="s">
        <v>167</v>
      </c>
      <c r="I35" s="7"/>
    </row>
    <row r="36" customFormat="false" ht="17.4" hidden="false" customHeight="true" outlineLevel="0" collapsed="false">
      <c r="A36" s="7"/>
      <c r="B36" s="7"/>
      <c r="C36" s="7"/>
      <c r="D36" s="7"/>
      <c r="E36" s="7"/>
      <c r="F36" s="97" t="s">
        <v>186</v>
      </c>
      <c r="G36" s="98" t="s">
        <v>187</v>
      </c>
      <c r="H36" s="98" t="str">
        <f aca="false">G36&amp;" ("&amp;F36&amp;")"</f>
        <v>Not Defined (X)</v>
      </c>
      <c r="I36" s="7"/>
    </row>
    <row r="37" customFormat="false" ht="17.4" hidden="false" customHeight="true" outlineLevel="0" collapsed="false">
      <c r="A37" s="7"/>
      <c r="B37" s="102" t="s">
        <v>210</v>
      </c>
      <c r="C37" s="102"/>
      <c r="D37" s="102"/>
      <c r="E37" s="7"/>
      <c r="F37" s="99" t="s">
        <v>211</v>
      </c>
      <c r="G37" s="100" t="s">
        <v>212</v>
      </c>
      <c r="H37" s="98" t="str">
        <f aca="false">G37&amp;" ("&amp;F37&amp;")"</f>
        <v>Low / None (Clear)</v>
      </c>
      <c r="I37" s="7"/>
    </row>
    <row r="38" customFormat="false" ht="17.4" hidden="false" customHeight="true" outlineLevel="0" collapsed="false">
      <c r="A38" s="7"/>
      <c r="B38" s="96" t="s">
        <v>165</v>
      </c>
      <c r="C38" s="96" t="s">
        <v>166</v>
      </c>
      <c r="D38" s="96" t="s">
        <v>167</v>
      </c>
      <c r="E38" s="7"/>
      <c r="F38" s="97" t="s">
        <v>213</v>
      </c>
      <c r="G38" s="98" t="s">
        <v>214</v>
      </c>
      <c r="H38" s="98" t="str">
        <f aca="false">G38&amp;" ("&amp;F38&amp;")"</f>
        <v>Moderate Urgency (Green)</v>
      </c>
      <c r="I38" s="7"/>
    </row>
    <row r="39" customFormat="false" ht="17.4" hidden="false" customHeight="true" outlineLevel="0" collapsed="false">
      <c r="A39" s="7"/>
      <c r="B39" s="97" t="s">
        <v>194</v>
      </c>
      <c r="C39" s="98" t="s">
        <v>8</v>
      </c>
      <c r="D39" s="98" t="str">
        <f aca="false">C39&amp;" ("&amp;B39&amp;")"</f>
        <v>High (H)</v>
      </c>
      <c r="E39" s="7"/>
      <c r="F39" s="97" t="s">
        <v>215</v>
      </c>
      <c r="G39" s="98" t="s">
        <v>216</v>
      </c>
      <c r="H39" s="98" t="str">
        <f aca="false">G39&amp;" ("&amp;F39&amp;")"</f>
        <v>High Urgency (Amber)</v>
      </c>
      <c r="I39" s="7"/>
    </row>
    <row r="40" customFormat="false" ht="17.4" hidden="false" customHeight="true" outlineLevel="0" collapsed="false">
      <c r="A40" s="7"/>
      <c r="B40" s="99" t="s">
        <v>190</v>
      </c>
      <c r="C40" s="100" t="s">
        <v>10</v>
      </c>
      <c r="D40" s="98" t="str">
        <f aca="false">C40&amp;" ("&amp;B40&amp;")"</f>
        <v>Low (L)</v>
      </c>
      <c r="E40" s="7"/>
      <c r="F40" s="99" t="s">
        <v>217</v>
      </c>
      <c r="G40" s="100" t="s">
        <v>218</v>
      </c>
      <c r="H40" s="98" t="str">
        <f aca="false">G40&amp;" ("&amp;F40&amp;")"</f>
        <v>Critical  / Immediate (Red)</v>
      </c>
      <c r="I40" s="7"/>
    </row>
    <row r="41" customFormat="false" ht="17.4" hidden="false" customHeight="true" outlineLevel="0" collapsed="false">
      <c r="A41" s="7"/>
      <c r="B41" s="97" t="s">
        <v>170</v>
      </c>
      <c r="C41" s="98" t="s">
        <v>11</v>
      </c>
      <c r="D41" s="98" t="str">
        <f aca="false">C41&amp;" ("&amp;B41&amp;")"</f>
        <v>None (N)</v>
      </c>
      <c r="E41" s="7"/>
      <c r="F41" s="7"/>
      <c r="G41" s="7"/>
      <c r="H41" s="7"/>
      <c r="I41" s="7"/>
    </row>
    <row r="42" customFormat="false" ht="17.4" hidden="false" customHeight="true" outlineLevel="0" collapsed="false">
      <c r="A42" s="7"/>
      <c r="B42" s="7"/>
      <c r="C42" s="7"/>
      <c r="D42" s="7"/>
      <c r="E42" s="7"/>
      <c r="F42" s="7"/>
      <c r="G42" s="7"/>
      <c r="H42" s="7"/>
      <c r="I42" s="7"/>
    </row>
    <row r="43" customFormat="false" ht="17.4" hidden="false" customHeight="true" outlineLevel="0" collapsed="false">
      <c r="A43" s="7"/>
      <c r="B43" s="102" t="s">
        <v>219</v>
      </c>
      <c r="C43" s="102"/>
      <c r="D43" s="102"/>
      <c r="E43" s="7"/>
      <c r="F43" s="7"/>
      <c r="G43" s="7"/>
      <c r="H43" s="7"/>
      <c r="I43" s="7"/>
    </row>
    <row r="44" customFormat="false" ht="17.4" hidden="false" customHeight="true" outlineLevel="0" collapsed="false">
      <c r="A44" s="7"/>
      <c r="B44" s="96" t="s">
        <v>165</v>
      </c>
      <c r="C44" s="96" t="s">
        <v>166</v>
      </c>
      <c r="D44" s="96" t="s">
        <v>167</v>
      </c>
      <c r="E44" s="7"/>
      <c r="F44" s="7"/>
      <c r="G44" s="7"/>
      <c r="H44" s="7"/>
      <c r="I44" s="7"/>
    </row>
    <row r="45" customFormat="false" ht="17.4" hidden="false" customHeight="true" outlineLevel="0" collapsed="false">
      <c r="A45" s="7"/>
      <c r="B45" s="97" t="s">
        <v>194</v>
      </c>
      <c r="C45" s="98" t="s">
        <v>8</v>
      </c>
      <c r="D45" s="98" t="str">
        <f aca="false">C45&amp;" ("&amp;B45&amp;")"</f>
        <v>High (H)</v>
      </c>
      <c r="E45" s="7"/>
      <c r="F45" s="7"/>
      <c r="G45" s="7"/>
      <c r="H45" s="7"/>
      <c r="I45" s="7"/>
    </row>
    <row r="46" customFormat="false" ht="17.4" hidden="false" customHeight="true" outlineLevel="0" collapsed="false">
      <c r="A46" s="7"/>
      <c r="B46" s="99" t="s">
        <v>190</v>
      </c>
      <c r="C46" s="100" t="s">
        <v>10</v>
      </c>
      <c r="D46" s="98" t="str">
        <f aca="false">C46&amp;" ("&amp;B46&amp;")"</f>
        <v>Low (L)</v>
      </c>
      <c r="E46" s="7"/>
      <c r="F46" s="7"/>
      <c r="G46" s="7"/>
      <c r="H46" s="7"/>
      <c r="I46" s="7"/>
    </row>
    <row r="47" customFormat="false" ht="17.4" hidden="false" customHeight="true" outlineLevel="0" collapsed="false">
      <c r="A47" s="7"/>
      <c r="B47" s="97" t="s">
        <v>170</v>
      </c>
      <c r="C47" s="98" t="s">
        <v>11</v>
      </c>
      <c r="D47" s="98" t="str">
        <f aca="false">C47&amp;" ("&amp;B47&amp;")"</f>
        <v>None (N)</v>
      </c>
      <c r="E47" s="7"/>
      <c r="F47" s="7"/>
      <c r="G47" s="7"/>
      <c r="H47" s="7"/>
      <c r="I47" s="7"/>
    </row>
    <row r="48" customFormat="false" ht="17.4" hidden="false" customHeight="true" outlineLevel="0" collapsed="false">
      <c r="A48" s="7"/>
      <c r="B48" s="7"/>
      <c r="C48" s="7"/>
      <c r="D48" s="7"/>
      <c r="E48" s="7"/>
      <c r="F48" s="7"/>
      <c r="G48" s="7"/>
      <c r="H48" s="7"/>
      <c r="I48" s="7"/>
    </row>
    <row r="49" customFormat="false" ht="17.4" hidden="false" customHeight="true" outlineLevel="0" collapsed="false">
      <c r="A49" s="7"/>
      <c r="B49" s="102" t="s">
        <v>220</v>
      </c>
      <c r="C49" s="102"/>
      <c r="D49" s="102"/>
      <c r="E49" s="7"/>
      <c r="F49" s="7"/>
      <c r="G49" s="7"/>
      <c r="H49" s="7"/>
      <c r="I49" s="7"/>
    </row>
    <row r="50" customFormat="false" ht="17.4" hidden="false" customHeight="true" outlineLevel="0" collapsed="false">
      <c r="A50" s="7"/>
      <c r="B50" s="96" t="s">
        <v>165</v>
      </c>
      <c r="C50" s="96" t="s">
        <v>166</v>
      </c>
      <c r="D50" s="96" t="s">
        <v>167</v>
      </c>
      <c r="E50" s="7"/>
      <c r="F50" s="7"/>
      <c r="G50" s="7"/>
      <c r="H50" s="7"/>
      <c r="I50" s="7"/>
    </row>
    <row r="51" customFormat="false" ht="17.4" hidden="false" customHeight="true" outlineLevel="0" collapsed="false">
      <c r="A51" s="7"/>
      <c r="B51" s="97" t="s">
        <v>194</v>
      </c>
      <c r="C51" s="98" t="s">
        <v>8</v>
      </c>
      <c r="D51" s="98" t="str">
        <f aca="false">C51&amp;" ("&amp;B51&amp;")"</f>
        <v>High (H)</v>
      </c>
      <c r="E51" s="7"/>
      <c r="F51" s="7"/>
      <c r="G51" s="7"/>
      <c r="H51" s="7"/>
      <c r="I51" s="7"/>
    </row>
    <row r="52" customFormat="false" ht="17.4" hidden="false" customHeight="true" outlineLevel="0" collapsed="false">
      <c r="A52" s="7"/>
      <c r="B52" s="99" t="s">
        <v>190</v>
      </c>
      <c r="C52" s="100" t="s">
        <v>10</v>
      </c>
      <c r="D52" s="98" t="str">
        <f aca="false">C52&amp;" ("&amp;B52&amp;")"</f>
        <v>Low (L)</v>
      </c>
      <c r="E52" s="7"/>
      <c r="F52" s="7"/>
      <c r="G52" s="7"/>
      <c r="H52" s="7"/>
      <c r="I52" s="7"/>
    </row>
    <row r="53" customFormat="false" ht="17.4" hidden="false" customHeight="true" outlineLevel="0" collapsed="false">
      <c r="A53" s="7"/>
      <c r="B53" s="97" t="s">
        <v>170</v>
      </c>
      <c r="C53" s="98" t="s">
        <v>11</v>
      </c>
      <c r="D53" s="98" t="str">
        <f aca="false">C53&amp;" ("&amp;B53&amp;")"</f>
        <v>None (N)</v>
      </c>
      <c r="E53" s="7"/>
      <c r="F53" s="7"/>
      <c r="G53" s="7"/>
      <c r="H53" s="7"/>
      <c r="I53" s="7"/>
    </row>
    <row r="54" customFormat="false" ht="17.4" hidden="false" customHeight="true" outlineLevel="0" collapsed="false">
      <c r="A54" s="7"/>
      <c r="B54" s="7"/>
      <c r="C54" s="7"/>
      <c r="D54" s="7"/>
      <c r="E54" s="7"/>
      <c r="F54" s="7"/>
      <c r="G54" s="7"/>
      <c r="H54" s="7"/>
      <c r="I54" s="7"/>
    </row>
    <row r="55" customFormat="false" ht="17.4" hidden="false" customHeight="true" outlineLevel="0" collapsed="false">
      <c r="A55" s="7"/>
      <c r="B55" s="102" t="s">
        <v>221</v>
      </c>
      <c r="C55" s="102"/>
      <c r="D55" s="102"/>
      <c r="E55" s="7"/>
      <c r="F55" s="7"/>
      <c r="G55" s="7"/>
      <c r="H55" s="7"/>
      <c r="I55" s="7"/>
    </row>
    <row r="56" customFormat="false" ht="17.4" hidden="false" customHeight="true" outlineLevel="0" collapsed="false">
      <c r="A56" s="7"/>
      <c r="B56" s="96" t="s">
        <v>165</v>
      </c>
      <c r="C56" s="96" t="s">
        <v>166</v>
      </c>
      <c r="D56" s="96" t="s">
        <v>167</v>
      </c>
      <c r="E56" s="7"/>
      <c r="F56" s="7"/>
      <c r="G56" s="7"/>
      <c r="H56" s="7"/>
      <c r="I56" s="7"/>
    </row>
    <row r="57" customFormat="false" ht="17.4" hidden="false" customHeight="true" outlineLevel="0" collapsed="false">
      <c r="A57" s="7"/>
      <c r="B57" s="97" t="s">
        <v>194</v>
      </c>
      <c r="C57" s="98" t="s">
        <v>8</v>
      </c>
      <c r="D57" s="98" t="str">
        <f aca="false">C57&amp;" ("&amp;B57&amp;")"</f>
        <v>High (H)</v>
      </c>
      <c r="E57" s="7"/>
      <c r="F57" s="7"/>
      <c r="G57" s="7"/>
      <c r="H57" s="7"/>
      <c r="I57" s="7"/>
    </row>
    <row r="58" customFormat="false" ht="17.4" hidden="false" customHeight="true" outlineLevel="0" collapsed="false">
      <c r="A58" s="7"/>
      <c r="B58" s="99" t="s">
        <v>190</v>
      </c>
      <c r="C58" s="100" t="s">
        <v>10</v>
      </c>
      <c r="D58" s="98" t="str">
        <f aca="false">C58&amp;" ("&amp;B58&amp;")"</f>
        <v>Low (L)</v>
      </c>
      <c r="E58" s="7"/>
      <c r="F58" s="7"/>
      <c r="G58" s="7"/>
      <c r="H58" s="7"/>
      <c r="I58" s="7"/>
    </row>
    <row r="59" customFormat="false" ht="17.4" hidden="false" customHeight="true" outlineLevel="0" collapsed="false">
      <c r="A59" s="7"/>
      <c r="B59" s="97" t="s">
        <v>170</v>
      </c>
      <c r="C59" s="98" t="s">
        <v>11</v>
      </c>
      <c r="D59" s="98" t="str">
        <f aca="false">C59&amp;" ("&amp;B59&amp;")"</f>
        <v>None (N)</v>
      </c>
      <c r="E59" s="7"/>
      <c r="F59" s="7"/>
      <c r="G59" s="7"/>
      <c r="H59" s="7"/>
      <c r="I59" s="7"/>
    </row>
    <row r="60" customFormat="false" ht="17.4" hidden="false" customHeight="true" outlineLevel="0" collapsed="false">
      <c r="A60" s="7"/>
      <c r="B60" s="7"/>
      <c r="C60" s="7"/>
      <c r="D60" s="7"/>
      <c r="E60" s="7"/>
      <c r="F60" s="7"/>
      <c r="G60" s="7"/>
      <c r="H60" s="7"/>
      <c r="I60" s="7"/>
    </row>
    <row r="61" customFormat="false" ht="17.4" hidden="false" customHeight="true" outlineLevel="0" collapsed="false">
      <c r="A61" s="7"/>
      <c r="B61" s="102" t="s">
        <v>222</v>
      </c>
      <c r="C61" s="102"/>
      <c r="D61" s="102"/>
      <c r="E61" s="7"/>
      <c r="F61" s="7"/>
      <c r="G61" s="7"/>
      <c r="H61" s="7"/>
      <c r="I61" s="7"/>
    </row>
    <row r="62" customFormat="false" ht="17.4" hidden="false" customHeight="true" outlineLevel="0" collapsed="false">
      <c r="A62" s="7"/>
      <c r="B62" s="96" t="s">
        <v>165</v>
      </c>
      <c r="C62" s="96" t="s">
        <v>166</v>
      </c>
      <c r="D62" s="96" t="s">
        <v>167</v>
      </c>
      <c r="E62" s="7"/>
      <c r="F62" s="7"/>
      <c r="G62" s="7"/>
      <c r="H62" s="7"/>
      <c r="I62" s="7"/>
    </row>
    <row r="63" customFormat="false" ht="17.4" hidden="false" customHeight="true" outlineLevel="0" collapsed="false">
      <c r="A63" s="7"/>
      <c r="B63" s="97" t="s">
        <v>194</v>
      </c>
      <c r="C63" s="98" t="s">
        <v>8</v>
      </c>
      <c r="D63" s="98" t="str">
        <f aca="false">C63&amp;" ("&amp;B63&amp;")"</f>
        <v>High (H)</v>
      </c>
      <c r="E63" s="7"/>
      <c r="F63" s="7"/>
      <c r="G63" s="7"/>
      <c r="H63" s="7"/>
      <c r="I63" s="7"/>
    </row>
    <row r="64" customFormat="false" ht="17.4" hidden="false" customHeight="true" outlineLevel="0" collapsed="false">
      <c r="A64" s="7"/>
      <c r="B64" s="99" t="s">
        <v>190</v>
      </c>
      <c r="C64" s="100" t="s">
        <v>10</v>
      </c>
      <c r="D64" s="98" t="str">
        <f aca="false">C64&amp;" ("&amp;B64&amp;")"</f>
        <v>Low (L)</v>
      </c>
      <c r="E64" s="7"/>
      <c r="F64" s="7"/>
      <c r="G64" s="7"/>
      <c r="H64" s="7"/>
      <c r="I64" s="7"/>
    </row>
    <row r="65" customFormat="false" ht="17.4" hidden="false" customHeight="true" outlineLevel="0" collapsed="false">
      <c r="A65" s="7"/>
      <c r="B65" s="97" t="s">
        <v>170</v>
      </c>
      <c r="C65" s="98" t="s">
        <v>11</v>
      </c>
      <c r="D65" s="98" t="str">
        <f aca="false">C65&amp;" ("&amp;B65&amp;")"</f>
        <v>None (N)</v>
      </c>
      <c r="E65" s="7"/>
      <c r="F65" s="7"/>
      <c r="G65" s="7"/>
      <c r="H65" s="7"/>
      <c r="I65" s="7"/>
    </row>
    <row r="66" customFormat="false" ht="17.4" hidden="false" customHeight="true" outlineLevel="0" collapsed="false">
      <c r="A66" s="7"/>
      <c r="B66" s="7"/>
      <c r="C66" s="7"/>
      <c r="D66" s="7"/>
      <c r="E66" s="7"/>
      <c r="F66" s="7"/>
      <c r="G66" s="7"/>
      <c r="H66" s="7"/>
      <c r="I66" s="7"/>
    </row>
    <row r="67" customFormat="false" ht="17.4" hidden="false" customHeight="true" outlineLevel="0" collapsed="false">
      <c r="A67" s="7"/>
      <c r="B67" s="102" t="s">
        <v>73</v>
      </c>
      <c r="C67" s="102"/>
      <c r="D67" s="102"/>
      <c r="E67" s="7"/>
      <c r="F67" s="7"/>
      <c r="G67" s="7"/>
      <c r="H67" s="7"/>
      <c r="I67" s="7"/>
    </row>
    <row r="68" customFormat="false" ht="17.4" hidden="false" customHeight="true" outlineLevel="0" collapsed="false">
      <c r="A68" s="7"/>
      <c r="B68" s="96" t="s">
        <v>165</v>
      </c>
      <c r="C68" s="96" t="s">
        <v>166</v>
      </c>
      <c r="D68" s="96" t="s">
        <v>167</v>
      </c>
      <c r="E68" s="18"/>
      <c r="F68" s="7"/>
      <c r="G68" s="7"/>
      <c r="H68" s="7"/>
      <c r="I68" s="7"/>
    </row>
    <row r="69" customFormat="false" ht="17.4" hidden="false" customHeight="true" outlineLevel="0" collapsed="false">
      <c r="A69" s="7"/>
      <c r="B69" s="97" t="s">
        <v>186</v>
      </c>
      <c r="C69" s="98" t="s">
        <v>187</v>
      </c>
      <c r="D69" s="98" t="str">
        <f aca="false">C69&amp;" ("&amp;B69&amp;")"</f>
        <v>Not Defined (X)</v>
      </c>
      <c r="E69" s="103"/>
      <c r="F69" s="7"/>
      <c r="G69" s="7"/>
      <c r="H69" s="7"/>
      <c r="I69" s="7"/>
    </row>
    <row r="70" customFormat="false" ht="17.4" hidden="false" customHeight="true" outlineLevel="0" collapsed="false">
      <c r="A70" s="7"/>
      <c r="B70" s="99" t="s">
        <v>188</v>
      </c>
      <c r="C70" s="100" t="s">
        <v>223</v>
      </c>
      <c r="D70" s="98" t="str">
        <f aca="false">C70&amp;" ("&amp;B70&amp;")"</f>
        <v>Attacked (A)</v>
      </c>
      <c r="E70" s="104"/>
      <c r="F70" s="7"/>
      <c r="G70" s="7"/>
      <c r="H70" s="7"/>
      <c r="I70" s="7"/>
    </row>
    <row r="71" customFormat="false" ht="17.4" hidden="false" customHeight="true" outlineLevel="0" collapsed="false">
      <c r="A71" s="7"/>
      <c r="B71" s="97" t="s">
        <v>191</v>
      </c>
      <c r="C71" s="98" t="s">
        <v>134</v>
      </c>
      <c r="D71" s="98" t="str">
        <f aca="false">C71&amp;" ("&amp;B71&amp;")"</f>
        <v>Proof of Concept (P)</v>
      </c>
      <c r="E71" s="104"/>
      <c r="F71" s="7"/>
      <c r="G71" s="7"/>
      <c r="H71" s="7"/>
      <c r="I71" s="7"/>
    </row>
    <row r="72" customFormat="false" ht="17.4" hidden="false" customHeight="true" outlineLevel="0" collapsed="false">
      <c r="A72" s="7"/>
      <c r="B72" s="99" t="s">
        <v>197</v>
      </c>
      <c r="C72" s="100" t="s">
        <v>224</v>
      </c>
      <c r="D72" s="98" t="str">
        <f aca="false">C72&amp;" ("&amp;B72&amp;")"</f>
        <v>Unreported (U)</v>
      </c>
      <c r="E72" s="103"/>
      <c r="F72" s="7"/>
      <c r="G72" s="7"/>
      <c r="H72" s="7"/>
      <c r="I72" s="7"/>
    </row>
    <row r="73" customFormat="false" ht="17.4" hidden="false" customHeight="true" outlineLevel="0" collapsed="false">
      <c r="A73" s="7"/>
      <c r="B73" s="7"/>
      <c r="C73" s="7"/>
      <c r="D73" s="7"/>
      <c r="E73" s="7"/>
      <c r="F73" s="7"/>
      <c r="G73" s="7"/>
      <c r="H73" s="7"/>
      <c r="I73" s="7"/>
    </row>
    <row r="74" customFormat="false" ht="16.4" hidden="false" customHeight="true" outlineLevel="0" collapsed="false">
      <c r="B74" s="102" t="s">
        <v>225</v>
      </c>
      <c r="C74" s="102"/>
      <c r="D74" s="102"/>
    </row>
    <row r="75" customFormat="false" ht="17.4" hidden="false" customHeight="false" outlineLevel="0" collapsed="false">
      <c r="B75" s="96" t="s">
        <v>165</v>
      </c>
      <c r="C75" s="96" t="s">
        <v>166</v>
      </c>
      <c r="D75" s="96" t="s">
        <v>167</v>
      </c>
    </row>
    <row r="76" customFormat="false" ht="17.4" hidden="false" customHeight="false" outlineLevel="0" collapsed="false">
      <c r="B76" s="97" t="s">
        <v>172</v>
      </c>
      <c r="C76" s="98" t="s">
        <v>226</v>
      </c>
      <c r="D76" s="98" t="str">
        <f aca="false">C76&amp;" ("&amp;B76&amp;")"</f>
        <v>Safety (S)</v>
      </c>
    </row>
    <row r="77" customFormat="false" ht="17.4" hidden="false" customHeight="false" outlineLevel="0" collapsed="false">
      <c r="B77" s="97" t="s">
        <v>194</v>
      </c>
      <c r="C77" s="98" t="s">
        <v>8</v>
      </c>
      <c r="D77" s="98" t="str">
        <f aca="false">C77&amp;" ("&amp;B77&amp;")"</f>
        <v>High (H)</v>
      </c>
    </row>
    <row r="78" customFormat="false" ht="17.4" hidden="false" customHeight="false" outlineLevel="0" collapsed="false">
      <c r="B78" s="99" t="s">
        <v>190</v>
      </c>
      <c r="C78" s="100" t="s">
        <v>10</v>
      </c>
      <c r="D78" s="98" t="str">
        <f aca="false">C78&amp;" ("&amp;B78&amp;")"</f>
        <v>Low (L)</v>
      </c>
    </row>
    <row r="79" customFormat="false" ht="17.4" hidden="false" customHeight="false" outlineLevel="0" collapsed="false">
      <c r="B79" s="97" t="s">
        <v>170</v>
      </c>
      <c r="C79" s="98" t="s">
        <v>11</v>
      </c>
      <c r="D79" s="98" t="str">
        <f aca="false">C79&amp;" ("&amp;B79&amp;")"</f>
        <v>None (N)</v>
      </c>
    </row>
    <row r="80" customFormat="false" ht="17.4" hidden="false" customHeight="false" outlineLevel="0" collapsed="false">
      <c r="B80" s="7"/>
      <c r="C80" s="7"/>
      <c r="D80" s="7"/>
    </row>
    <row r="81" customFormat="false" ht="16.4" hidden="false" customHeight="true" outlineLevel="0" collapsed="false">
      <c r="B81" s="102" t="s">
        <v>227</v>
      </c>
      <c r="C81" s="102"/>
      <c r="D81" s="102"/>
    </row>
    <row r="82" customFormat="false" ht="17.4" hidden="false" customHeight="false" outlineLevel="0" collapsed="false">
      <c r="B82" s="96" t="s">
        <v>165</v>
      </c>
      <c r="C82" s="96" t="s">
        <v>166</v>
      </c>
      <c r="D82" s="96" t="s">
        <v>167</v>
      </c>
    </row>
    <row r="83" customFormat="false" ht="17.4" hidden="false" customHeight="false" outlineLevel="0" collapsed="false">
      <c r="B83" s="97" t="s">
        <v>172</v>
      </c>
      <c r="C83" s="98" t="s">
        <v>226</v>
      </c>
      <c r="D83" s="98" t="str">
        <f aca="false">C83&amp;" ("&amp;B83&amp;")"</f>
        <v>Safety (S)</v>
      </c>
    </row>
    <row r="84" customFormat="false" ht="17.4" hidden="false" customHeight="false" outlineLevel="0" collapsed="false">
      <c r="B84" s="97" t="s">
        <v>194</v>
      </c>
      <c r="C84" s="98" t="s">
        <v>8</v>
      </c>
      <c r="D84" s="98" t="str">
        <f aca="false">C84&amp;" ("&amp;B84&amp;")"</f>
        <v>High (H)</v>
      </c>
    </row>
    <row r="85" customFormat="false" ht="17.4" hidden="false" customHeight="false" outlineLevel="0" collapsed="false">
      <c r="B85" s="99" t="s">
        <v>190</v>
      </c>
      <c r="C85" s="100" t="s">
        <v>10</v>
      </c>
      <c r="D85" s="98" t="str">
        <f aca="false">C85&amp;" ("&amp;B85&amp;")"</f>
        <v>Low (L)</v>
      </c>
    </row>
    <row r="86" customFormat="false" ht="17.4" hidden="false" customHeight="false" outlineLevel="0" collapsed="false">
      <c r="B86" s="97" t="s">
        <v>170</v>
      </c>
      <c r="C86" s="98" t="s">
        <v>11</v>
      </c>
      <c r="D86" s="98" t="str">
        <f aca="false">C86&amp;" ("&amp;B86&amp;")"</f>
        <v>None (N)</v>
      </c>
    </row>
    <row r="87" customFormat="false" ht="17.4" hidden="false" customHeight="false" outlineLevel="0" collapsed="false">
      <c r="B87" s="7"/>
      <c r="C87" s="7"/>
      <c r="D87" s="7"/>
    </row>
  </sheetData>
  <mergeCells count="20">
    <mergeCell ref="B2:D2"/>
    <mergeCell ref="F2:H2"/>
    <mergeCell ref="F8:H8"/>
    <mergeCell ref="B9:D9"/>
    <mergeCell ref="B14:D14"/>
    <mergeCell ref="F14:H14"/>
    <mergeCell ref="B19:D19"/>
    <mergeCell ref="F21:H21"/>
    <mergeCell ref="B25:D25"/>
    <mergeCell ref="F27:H27"/>
    <mergeCell ref="B31:D31"/>
    <mergeCell ref="F34:H34"/>
    <mergeCell ref="B37:D37"/>
    <mergeCell ref="B43:D43"/>
    <mergeCell ref="B49:D49"/>
    <mergeCell ref="B55:D55"/>
    <mergeCell ref="B61:D61"/>
    <mergeCell ref="B67:D67"/>
    <mergeCell ref="B74:D74"/>
    <mergeCell ref="B81:D81"/>
  </mergeCells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808080"/>
    <pageSetUpPr fitToPage="false"/>
  </sheetPr>
  <dimension ref="A1:E153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B2" activeCellId="0" sqref="B2"/>
    </sheetView>
  </sheetViews>
  <sheetFormatPr defaultColWidth="11.53515625" defaultRowHeight="12.8" zeroHeight="false" outlineLevelRow="0" outlineLevelCol="0"/>
  <cols>
    <col collapsed="false" customWidth="false" hidden="false" outlineLevel="0" max="2" min="1" style="1" width="11.53"/>
    <col collapsed="false" customWidth="true" hidden="false" outlineLevel="0" max="3" min="3" style="1" width="7.37"/>
    <col collapsed="false" customWidth="true" hidden="false" outlineLevel="0" max="4" min="4" style="1" width="25.18"/>
    <col collapsed="false" customWidth="false" hidden="false" outlineLevel="0" max="16358" min="5" style="1" width="11.53"/>
  </cols>
  <sheetData>
    <row r="1" customFormat="false" ht="17.4" hidden="false" customHeight="true" outlineLevel="0" collapsed="false">
      <c r="A1" s="7"/>
      <c r="B1" s="7"/>
      <c r="C1" s="7"/>
      <c r="D1" s="7"/>
      <c r="E1" s="7"/>
    </row>
    <row r="2" customFormat="false" ht="17.4" hidden="false" customHeight="true" outlineLevel="0" collapsed="false">
      <c r="A2" s="7"/>
      <c r="B2" s="95" t="s">
        <v>228</v>
      </c>
      <c r="C2" s="95"/>
      <c r="D2" s="95"/>
      <c r="E2" s="7"/>
    </row>
    <row r="3" customFormat="false" ht="17.4" hidden="false" customHeight="true" outlineLevel="0" collapsed="false">
      <c r="A3" s="7"/>
      <c r="B3" s="96" t="s">
        <v>229</v>
      </c>
      <c r="C3" s="96" t="s">
        <v>165</v>
      </c>
      <c r="D3" s="96" t="s">
        <v>166</v>
      </c>
      <c r="E3" s="7"/>
    </row>
    <row r="4" customFormat="false" ht="17.4" hidden="false" customHeight="true" outlineLevel="0" collapsed="false">
      <c r="A4" s="7"/>
      <c r="B4" s="105" t="n">
        <v>1</v>
      </c>
      <c r="C4" s="105" t="s">
        <v>230</v>
      </c>
      <c r="D4" s="98" t="s">
        <v>7</v>
      </c>
      <c r="E4" s="7"/>
    </row>
    <row r="5" customFormat="false" ht="17.4" hidden="false" customHeight="true" outlineLevel="0" collapsed="false">
      <c r="A5" s="7"/>
      <c r="B5" s="106" t="n">
        <v>0.9</v>
      </c>
      <c r="C5" s="106" t="s">
        <v>194</v>
      </c>
      <c r="D5" s="98" t="s">
        <v>8</v>
      </c>
      <c r="E5" s="7"/>
    </row>
    <row r="6" customFormat="false" ht="17.4" hidden="false" customHeight="true" outlineLevel="0" collapsed="false">
      <c r="A6" s="7"/>
      <c r="B6" s="106" t="n">
        <v>0.6</v>
      </c>
      <c r="C6" s="106" t="s">
        <v>208</v>
      </c>
      <c r="D6" s="98" t="s">
        <v>9</v>
      </c>
      <c r="E6" s="7"/>
    </row>
    <row r="7" customFormat="false" ht="17.4" hidden="false" customHeight="true" outlineLevel="0" collapsed="false">
      <c r="A7" s="7"/>
      <c r="B7" s="106" t="n">
        <v>0.3</v>
      </c>
      <c r="C7" s="106" t="s">
        <v>190</v>
      </c>
      <c r="D7" s="98" t="s">
        <v>10</v>
      </c>
      <c r="E7" s="7"/>
    </row>
    <row r="8" customFormat="false" ht="17.4" hidden="false" customHeight="true" outlineLevel="0" collapsed="false">
      <c r="A8" s="7"/>
      <c r="B8" s="106" t="n">
        <v>0</v>
      </c>
      <c r="C8" s="106" t="s">
        <v>170</v>
      </c>
      <c r="D8" s="98" t="s">
        <v>11</v>
      </c>
      <c r="E8" s="7"/>
    </row>
    <row r="9" customFormat="false" ht="17.4" hidden="false" customHeight="true" outlineLevel="0" collapsed="false">
      <c r="A9" s="7"/>
      <c r="B9" s="7"/>
      <c r="C9" s="7"/>
      <c r="D9" s="7"/>
      <c r="E9" s="7"/>
    </row>
    <row r="10" customFormat="false" ht="17.4" hidden="false" customHeight="true" outlineLevel="0" collapsed="false">
      <c r="A10" s="7"/>
      <c r="B10" s="95" t="s">
        <v>231</v>
      </c>
      <c r="C10" s="95"/>
      <c r="D10" s="95"/>
      <c r="E10" s="7"/>
    </row>
    <row r="11" customFormat="false" ht="17.4" hidden="false" customHeight="true" outlineLevel="0" collapsed="false">
      <c r="A11" s="7"/>
      <c r="B11" s="96" t="s">
        <v>229</v>
      </c>
      <c r="C11" s="96"/>
      <c r="D11" s="96" t="s">
        <v>166</v>
      </c>
      <c r="E11" s="7"/>
    </row>
    <row r="12" customFormat="false" ht="17.4" hidden="false" customHeight="true" outlineLevel="0" collapsed="false">
      <c r="A12" s="7"/>
      <c r="B12" s="105" t="n">
        <v>1</v>
      </c>
      <c r="C12" s="105" t="s">
        <v>170</v>
      </c>
      <c r="D12" s="98" t="s">
        <v>11</v>
      </c>
      <c r="E12" s="7"/>
    </row>
    <row r="13" customFormat="false" ht="17.4" hidden="false" customHeight="true" outlineLevel="0" collapsed="false">
      <c r="A13" s="7"/>
      <c r="B13" s="106" t="n">
        <v>0.6</v>
      </c>
      <c r="C13" s="106" t="s">
        <v>191</v>
      </c>
      <c r="D13" s="98" t="s">
        <v>138</v>
      </c>
      <c r="E13" s="7"/>
    </row>
    <row r="14" customFormat="false" ht="17.4" hidden="false" customHeight="true" outlineLevel="0" collapsed="false">
      <c r="A14" s="7"/>
      <c r="B14" s="106" t="n">
        <v>0.3</v>
      </c>
      <c r="C14" s="106" t="s">
        <v>176</v>
      </c>
      <c r="D14" s="98" t="s">
        <v>164</v>
      </c>
      <c r="E14" s="7"/>
    </row>
    <row r="15" customFormat="false" ht="17.4" hidden="false" customHeight="true" outlineLevel="0" collapsed="false">
      <c r="A15" s="7"/>
      <c r="B15" s="106" t="n">
        <v>0</v>
      </c>
      <c r="C15" s="106" t="s">
        <v>208</v>
      </c>
      <c r="D15" s="98" t="s">
        <v>130</v>
      </c>
      <c r="E15" s="7"/>
    </row>
    <row r="16" customFormat="false" ht="17.4" hidden="false" customHeight="true" outlineLevel="0" collapsed="false">
      <c r="A16" s="7"/>
      <c r="B16" s="7"/>
      <c r="C16" s="7"/>
      <c r="D16" s="7"/>
      <c r="E16" s="7"/>
    </row>
    <row r="17" customFormat="false" ht="17.4" hidden="false" customHeight="true" outlineLevel="0" collapsed="false">
      <c r="A17" s="7"/>
      <c r="B17" s="95" t="s">
        <v>232</v>
      </c>
      <c r="C17" s="95"/>
      <c r="D17" s="95"/>
      <c r="E17" s="7"/>
    </row>
    <row r="18" customFormat="false" ht="17.4" hidden="false" customHeight="true" outlineLevel="0" collapsed="false">
      <c r="A18" s="7"/>
      <c r="B18" s="96" t="s">
        <v>229</v>
      </c>
      <c r="C18" s="96"/>
      <c r="D18" s="96" t="s">
        <v>166</v>
      </c>
      <c r="E18" s="7"/>
    </row>
    <row r="19" customFormat="false" ht="17.4" hidden="false" customHeight="true" outlineLevel="0" collapsed="false">
      <c r="A19" s="7"/>
      <c r="B19" s="105" t="n">
        <v>1</v>
      </c>
      <c r="C19" s="105" t="s">
        <v>178</v>
      </c>
      <c r="D19" s="98" t="s">
        <v>123</v>
      </c>
      <c r="E19" s="7"/>
    </row>
    <row r="20" customFormat="false" ht="17.4" hidden="false" customHeight="true" outlineLevel="0" collapsed="false">
      <c r="A20" s="7"/>
      <c r="B20" s="106" t="n">
        <v>0.8</v>
      </c>
      <c r="C20" s="106" t="s">
        <v>233</v>
      </c>
      <c r="D20" s="98" t="s">
        <v>140</v>
      </c>
      <c r="E20" s="7"/>
    </row>
    <row r="21" customFormat="false" ht="17.4" hidden="false" customHeight="true" outlineLevel="0" collapsed="false">
      <c r="A21" s="7"/>
      <c r="B21" s="106" t="n">
        <v>0.5</v>
      </c>
      <c r="C21" s="106" t="s">
        <v>191</v>
      </c>
      <c r="D21" s="98" t="s">
        <v>234</v>
      </c>
      <c r="E21" s="7"/>
    </row>
    <row r="22" customFormat="false" ht="17.4" hidden="false" customHeight="true" outlineLevel="0" collapsed="false">
      <c r="A22" s="7"/>
      <c r="B22" s="106" t="n">
        <v>0.2</v>
      </c>
      <c r="C22" s="106" t="s">
        <v>190</v>
      </c>
      <c r="D22" s="98" t="s">
        <v>150</v>
      </c>
      <c r="E22" s="7"/>
    </row>
    <row r="23" customFormat="false" ht="17.4" hidden="false" customHeight="true" outlineLevel="0" collapsed="false">
      <c r="A23" s="7"/>
      <c r="B23" s="106" t="n">
        <v>0.1</v>
      </c>
      <c r="C23" s="106" t="s">
        <v>186</v>
      </c>
      <c r="D23" s="98" t="s">
        <v>157</v>
      </c>
      <c r="E23" s="7"/>
    </row>
    <row r="24" customFormat="false" ht="17.4" hidden="false" customHeight="true" outlineLevel="0" collapsed="false">
      <c r="A24" s="7"/>
      <c r="B24" s="7"/>
      <c r="C24" s="7"/>
      <c r="D24" s="7"/>
      <c r="E24" s="7"/>
    </row>
    <row r="25" customFormat="false" ht="17.4" hidden="false" customHeight="true" outlineLevel="0" collapsed="false">
      <c r="A25" s="7"/>
      <c r="B25" s="95" t="s">
        <v>235</v>
      </c>
      <c r="C25" s="95"/>
      <c r="D25" s="95"/>
      <c r="E25" s="7"/>
    </row>
    <row r="26" customFormat="false" ht="17.4" hidden="false" customHeight="true" outlineLevel="0" collapsed="false">
      <c r="A26" s="7"/>
      <c r="B26" s="96" t="s">
        <v>229</v>
      </c>
      <c r="C26" s="96"/>
      <c r="D26" s="96" t="s">
        <v>166</v>
      </c>
      <c r="E26" s="7"/>
    </row>
    <row r="27" customFormat="false" ht="17.4" hidden="false" customHeight="true" outlineLevel="0" collapsed="false">
      <c r="A27" s="7"/>
      <c r="B27" s="105" t="n">
        <v>1</v>
      </c>
      <c r="C27" s="105" t="s">
        <v>170</v>
      </c>
      <c r="D27" s="98" t="s">
        <v>11</v>
      </c>
      <c r="E27" s="7"/>
    </row>
    <row r="28" customFormat="false" ht="17.4" hidden="false" customHeight="true" outlineLevel="0" collapsed="false">
      <c r="A28" s="7"/>
      <c r="B28" s="106" t="n">
        <v>0.8</v>
      </c>
      <c r="C28" s="106" t="s">
        <v>172</v>
      </c>
      <c r="D28" s="98" t="s">
        <v>236</v>
      </c>
      <c r="E28" s="7"/>
    </row>
    <row r="29" customFormat="false" ht="17.4" hidden="false" customHeight="true" outlineLevel="0" collapsed="false">
      <c r="A29" s="7"/>
      <c r="B29" s="106" t="n">
        <v>0.5</v>
      </c>
      <c r="C29" s="106" t="s">
        <v>208</v>
      </c>
      <c r="D29" s="98" t="s">
        <v>237</v>
      </c>
      <c r="E29" s="7"/>
    </row>
    <row r="30" customFormat="false" ht="17.4" hidden="false" customHeight="true" outlineLevel="0" collapsed="false">
      <c r="A30" s="7"/>
      <c r="B30" s="7"/>
      <c r="C30" s="7"/>
      <c r="D30" s="7"/>
      <c r="E30" s="7"/>
    </row>
    <row r="31" customFormat="false" ht="17.4" hidden="false" customHeight="true" outlineLevel="0" collapsed="false">
      <c r="A31" s="7"/>
      <c r="B31" s="95" t="s">
        <v>238</v>
      </c>
      <c r="C31" s="95"/>
      <c r="D31" s="95"/>
      <c r="E31" s="7"/>
    </row>
    <row r="32" customFormat="false" ht="17.4" hidden="false" customHeight="true" outlineLevel="0" collapsed="false">
      <c r="A32" s="7"/>
      <c r="B32" s="96" t="s">
        <v>229</v>
      </c>
      <c r="C32" s="96"/>
      <c r="D32" s="96" t="s">
        <v>166</v>
      </c>
      <c r="E32" s="7"/>
    </row>
    <row r="33" customFormat="false" ht="17.4" hidden="false" customHeight="true" outlineLevel="0" collapsed="false">
      <c r="A33" s="7"/>
      <c r="B33" s="105" t="n">
        <v>0.1</v>
      </c>
      <c r="C33" s="105" t="s">
        <v>170</v>
      </c>
      <c r="D33" s="98" t="s">
        <v>11</v>
      </c>
      <c r="E33" s="7"/>
    </row>
    <row r="34" customFormat="false" ht="17.4" hidden="false" customHeight="true" outlineLevel="0" collapsed="false">
      <c r="A34" s="7"/>
      <c r="B34" s="106" t="n">
        <v>0.7</v>
      </c>
      <c r="C34" s="106" t="s">
        <v>176</v>
      </c>
      <c r="D34" s="98" t="s">
        <v>132</v>
      </c>
      <c r="E34" s="7"/>
    </row>
    <row r="35" customFormat="false" ht="17.4" hidden="false" customHeight="true" outlineLevel="0" collapsed="false">
      <c r="A35" s="7"/>
      <c r="B35" s="106" t="n">
        <v>1</v>
      </c>
      <c r="C35" s="106" t="s">
        <v>188</v>
      </c>
      <c r="D35" s="98" t="s">
        <v>120</v>
      </c>
      <c r="E35" s="7"/>
    </row>
    <row r="36" customFormat="false" ht="17.4" hidden="false" customHeight="true" outlineLevel="0" collapsed="false">
      <c r="A36" s="7"/>
      <c r="B36" s="7"/>
      <c r="C36" s="7"/>
      <c r="D36" s="7"/>
      <c r="E36" s="7"/>
    </row>
    <row r="37" customFormat="false" ht="17.4" hidden="false" customHeight="true" outlineLevel="0" collapsed="false">
      <c r="A37" s="7"/>
      <c r="B37" s="95" t="s">
        <v>239</v>
      </c>
      <c r="C37" s="95"/>
      <c r="D37" s="95"/>
      <c r="E37" s="7"/>
    </row>
    <row r="38" customFormat="false" ht="17.4" hidden="false" customHeight="true" outlineLevel="0" collapsed="false">
      <c r="A38" s="7"/>
      <c r="B38" s="96" t="s">
        <v>229</v>
      </c>
      <c r="C38" s="96"/>
      <c r="D38" s="96" t="s">
        <v>166</v>
      </c>
      <c r="E38" s="7"/>
    </row>
    <row r="39" customFormat="false" ht="17.4" hidden="false" customHeight="true" outlineLevel="0" collapsed="false">
      <c r="A39" s="7"/>
      <c r="B39" s="105" t="n">
        <v>1</v>
      </c>
      <c r="C39" s="105" t="s">
        <v>170</v>
      </c>
      <c r="D39" s="98" t="s">
        <v>11</v>
      </c>
      <c r="E39" s="7"/>
    </row>
    <row r="40" customFormat="false" ht="17.4" hidden="false" customHeight="true" outlineLevel="0" collapsed="false">
      <c r="A40" s="7"/>
      <c r="B40" s="106" t="n">
        <v>0.7</v>
      </c>
      <c r="C40" s="106" t="s">
        <v>176</v>
      </c>
      <c r="D40" s="98" t="s">
        <v>132</v>
      </c>
      <c r="E40" s="7"/>
    </row>
    <row r="41" customFormat="false" ht="17.4" hidden="false" customHeight="true" outlineLevel="0" collapsed="false">
      <c r="A41" s="7"/>
      <c r="B41" s="106" t="n">
        <v>0.1</v>
      </c>
      <c r="C41" s="106" t="s">
        <v>188</v>
      </c>
      <c r="D41" s="98" t="s">
        <v>120</v>
      </c>
      <c r="E41" s="7"/>
    </row>
    <row r="42" customFormat="false" ht="17.4" hidden="false" customHeight="true" outlineLevel="0" collapsed="false">
      <c r="A42" s="7"/>
      <c r="B42" s="7"/>
      <c r="C42" s="7"/>
      <c r="D42" s="7"/>
      <c r="E42" s="7"/>
    </row>
    <row r="43" customFormat="false" ht="17.4" hidden="false" customHeight="true" outlineLevel="0" collapsed="false">
      <c r="A43" s="7"/>
      <c r="B43" s="95" t="s">
        <v>240</v>
      </c>
      <c r="C43" s="95"/>
      <c r="D43" s="95"/>
      <c r="E43" s="7"/>
    </row>
    <row r="44" customFormat="false" ht="17.4" hidden="false" customHeight="true" outlineLevel="0" collapsed="false">
      <c r="A44" s="7"/>
      <c r="B44" s="96" t="s">
        <v>229</v>
      </c>
      <c r="C44" s="96"/>
      <c r="D44" s="96" t="s">
        <v>166</v>
      </c>
      <c r="E44" s="7"/>
    </row>
    <row r="45" customFormat="false" ht="16.4" hidden="false" customHeight="true" outlineLevel="0" collapsed="false">
      <c r="A45" s="7"/>
      <c r="B45" s="105" t="n">
        <v>1</v>
      </c>
      <c r="C45" s="105" t="s">
        <v>230</v>
      </c>
      <c r="D45" s="98" t="s">
        <v>7</v>
      </c>
      <c r="E45" s="7"/>
    </row>
    <row r="46" customFormat="false" ht="12.8" hidden="false" customHeight="false" outlineLevel="0" collapsed="false">
      <c r="A46" s="7"/>
      <c r="B46" s="106" t="n">
        <v>0.9</v>
      </c>
      <c r="C46" s="106" t="s">
        <v>194</v>
      </c>
      <c r="D46" s="98" t="s">
        <v>8</v>
      </c>
      <c r="E46" s="7"/>
    </row>
    <row r="47" customFormat="false" ht="12.8" hidden="false" customHeight="false" outlineLevel="0" collapsed="false">
      <c r="A47" s="7"/>
      <c r="B47" s="106" t="n">
        <v>0.6</v>
      </c>
      <c r="C47" s="106" t="s">
        <v>208</v>
      </c>
      <c r="D47" s="98" t="s">
        <v>9</v>
      </c>
      <c r="E47" s="7"/>
    </row>
    <row r="48" customFormat="false" ht="12.8" hidden="false" customHeight="false" outlineLevel="0" collapsed="false">
      <c r="A48" s="7"/>
      <c r="B48" s="106" t="n">
        <v>0.3</v>
      </c>
      <c r="C48" s="106" t="s">
        <v>190</v>
      </c>
      <c r="D48" s="98" t="s">
        <v>10</v>
      </c>
      <c r="E48" s="7"/>
    </row>
    <row r="49" customFormat="false" ht="12.8" hidden="false" customHeight="false" outlineLevel="0" collapsed="false">
      <c r="A49" s="7"/>
      <c r="B49" s="106" t="n">
        <v>0</v>
      </c>
      <c r="C49" s="106" t="s">
        <v>170</v>
      </c>
      <c r="D49" s="98" t="s">
        <v>11</v>
      </c>
      <c r="E49" s="7"/>
    </row>
    <row r="50" customFormat="false" ht="12.8" hidden="false" customHeight="false" outlineLevel="0" collapsed="false">
      <c r="A50" s="7"/>
      <c r="B50" s="7"/>
      <c r="C50" s="7"/>
      <c r="D50" s="7"/>
      <c r="E50" s="7"/>
    </row>
    <row r="51" customFormat="false" ht="16.4" hidden="false" customHeight="true" outlineLevel="0" collapsed="false">
      <c r="A51" s="7"/>
      <c r="B51" s="95" t="s">
        <v>241</v>
      </c>
      <c r="C51" s="95"/>
      <c r="D51" s="95"/>
      <c r="E51" s="7"/>
    </row>
    <row r="52" customFormat="false" ht="16.4" hidden="false" customHeight="true" outlineLevel="0" collapsed="false">
      <c r="A52" s="7"/>
      <c r="B52" s="96" t="s">
        <v>229</v>
      </c>
      <c r="C52" s="96"/>
      <c r="D52" s="96" t="s">
        <v>166</v>
      </c>
      <c r="E52" s="7"/>
    </row>
    <row r="53" customFormat="false" ht="12.8" hidden="false" customHeight="false" outlineLevel="0" collapsed="false">
      <c r="A53" s="7"/>
      <c r="B53" s="105" t="n">
        <v>1</v>
      </c>
      <c r="C53" s="105" t="s">
        <v>194</v>
      </c>
      <c r="D53" s="98" t="s">
        <v>8</v>
      </c>
      <c r="E53" s="7"/>
    </row>
    <row r="54" customFormat="false" ht="12.8" hidden="false" customHeight="false" outlineLevel="0" collapsed="false">
      <c r="A54" s="7"/>
      <c r="B54" s="106" t="n">
        <v>0.6</v>
      </c>
      <c r="C54" s="106" t="s">
        <v>208</v>
      </c>
      <c r="D54" s="98" t="s">
        <v>9</v>
      </c>
      <c r="E54" s="7"/>
    </row>
    <row r="55" customFormat="false" ht="12.8" hidden="false" customHeight="false" outlineLevel="0" collapsed="false">
      <c r="A55" s="7"/>
      <c r="B55" s="106" t="n">
        <v>0.2</v>
      </c>
      <c r="C55" s="106" t="s">
        <v>190</v>
      </c>
      <c r="D55" s="98" t="s">
        <v>10</v>
      </c>
      <c r="E55" s="7"/>
    </row>
    <row r="56" customFormat="false" ht="12.8" hidden="false" customHeight="false" outlineLevel="0" collapsed="false">
      <c r="A56" s="7"/>
      <c r="B56" s="7"/>
      <c r="C56" s="7"/>
      <c r="D56" s="7"/>
      <c r="E56" s="7"/>
    </row>
    <row r="57" customFormat="false" ht="16.4" hidden="false" customHeight="true" outlineLevel="0" collapsed="false">
      <c r="A57" s="7"/>
      <c r="B57" s="95" t="s">
        <v>242</v>
      </c>
      <c r="C57" s="95"/>
      <c r="D57" s="95"/>
      <c r="E57" s="7"/>
    </row>
    <row r="58" customFormat="false" ht="13.8" hidden="false" customHeight="false" outlineLevel="0" collapsed="false">
      <c r="A58" s="7"/>
      <c r="B58" s="96" t="s">
        <v>229</v>
      </c>
      <c r="C58" s="96"/>
      <c r="D58" s="96" t="s">
        <v>166</v>
      </c>
      <c r="E58" s="7"/>
    </row>
    <row r="59" customFormat="false" ht="12.8" hidden="false" customHeight="false" outlineLevel="0" collapsed="false">
      <c r="A59" s="7"/>
      <c r="B59" s="105" t="n">
        <v>1</v>
      </c>
      <c r="C59" s="105" t="s">
        <v>190</v>
      </c>
      <c r="D59" s="98" t="s">
        <v>10</v>
      </c>
      <c r="E59" s="7"/>
    </row>
    <row r="60" customFormat="false" ht="12.8" hidden="false" customHeight="false" outlineLevel="0" collapsed="false">
      <c r="A60" s="7"/>
      <c r="B60" s="106" t="n">
        <v>0.9</v>
      </c>
      <c r="C60" s="106" t="s">
        <v>208</v>
      </c>
      <c r="D60" s="98" t="s">
        <v>9</v>
      </c>
      <c r="E60" s="7"/>
    </row>
    <row r="61" customFormat="false" ht="12.8" hidden="false" customHeight="false" outlineLevel="0" collapsed="false">
      <c r="A61" s="7"/>
      <c r="B61" s="106" t="n">
        <v>0.6</v>
      </c>
      <c r="C61" s="106" t="s">
        <v>194</v>
      </c>
      <c r="D61" s="98" t="s">
        <v>8</v>
      </c>
      <c r="E61" s="7"/>
    </row>
    <row r="62" customFormat="false" ht="12.8" hidden="false" customHeight="false" outlineLevel="0" collapsed="false">
      <c r="A62" s="7"/>
      <c r="B62" s="106" t="n">
        <v>0.3</v>
      </c>
      <c r="C62" s="106" t="s">
        <v>197</v>
      </c>
      <c r="D62" s="98" t="s">
        <v>243</v>
      </c>
      <c r="E62" s="7"/>
    </row>
    <row r="63" customFormat="false" ht="12.8" hidden="false" customHeight="false" outlineLevel="0" collapsed="false">
      <c r="A63" s="7"/>
      <c r="B63" s="7"/>
      <c r="C63" s="7"/>
      <c r="D63" s="7"/>
      <c r="E63" s="7"/>
    </row>
    <row r="64" customFormat="false" ht="16.4" hidden="false" customHeight="true" outlineLevel="0" collapsed="false">
      <c r="A64" s="7"/>
      <c r="B64" s="95" t="s">
        <v>244</v>
      </c>
      <c r="C64" s="95"/>
      <c r="D64" s="95"/>
      <c r="E64" s="7"/>
    </row>
    <row r="65" customFormat="false" ht="13.8" hidden="false" customHeight="false" outlineLevel="0" collapsed="false">
      <c r="A65" s="7"/>
      <c r="B65" s="96" t="s">
        <v>229</v>
      </c>
      <c r="C65" s="96"/>
      <c r="D65" s="96" t="s">
        <v>166</v>
      </c>
      <c r="E65" s="7"/>
    </row>
    <row r="66" customFormat="false" ht="12.8" hidden="false" customHeight="false" outlineLevel="0" collapsed="false">
      <c r="A66" s="7"/>
      <c r="B66" s="105" t="n">
        <v>1</v>
      </c>
      <c r="C66" s="105" t="s">
        <v>182</v>
      </c>
      <c r="D66" s="98" t="s">
        <v>121</v>
      </c>
      <c r="E66" s="7"/>
    </row>
    <row r="67" customFormat="false" ht="12.8" hidden="false" customHeight="false" outlineLevel="0" collapsed="false">
      <c r="A67" s="7"/>
      <c r="B67" s="105" t="n">
        <v>1</v>
      </c>
      <c r="C67" s="105" t="s">
        <v>178</v>
      </c>
      <c r="D67" s="98" t="s">
        <v>131</v>
      </c>
      <c r="E67" s="7"/>
    </row>
    <row r="68" customFormat="false" ht="12.8" hidden="false" customHeight="false" outlineLevel="0" collapsed="false">
      <c r="A68" s="7"/>
      <c r="B68" s="105" t="n">
        <v>0.9</v>
      </c>
      <c r="C68" s="105" t="s">
        <v>172</v>
      </c>
      <c r="D68" s="98" t="s">
        <v>139</v>
      </c>
      <c r="E68" s="7"/>
    </row>
    <row r="69" customFormat="false" ht="12.8" hidden="false" customHeight="false" outlineLevel="0" collapsed="false">
      <c r="A69" s="7"/>
      <c r="B69" s="105" t="n">
        <v>0.7</v>
      </c>
      <c r="C69" s="105" t="s">
        <v>188</v>
      </c>
      <c r="D69" s="98" t="s">
        <v>148</v>
      </c>
      <c r="E69" s="7"/>
    </row>
    <row r="70" customFormat="false" ht="12.8" hidden="false" customHeight="false" outlineLevel="0" collapsed="false">
      <c r="A70" s="7"/>
      <c r="B70" s="105" t="n">
        <v>0.6</v>
      </c>
      <c r="C70" s="105" t="s">
        <v>170</v>
      </c>
      <c r="D70" s="98" t="s">
        <v>155</v>
      </c>
      <c r="E70" s="7"/>
    </row>
    <row r="71" customFormat="false" ht="12.8" hidden="false" customHeight="false" outlineLevel="0" collapsed="false">
      <c r="A71" s="7"/>
      <c r="B71" s="105" t="n">
        <v>0.6</v>
      </c>
      <c r="C71" s="105" t="s">
        <v>180</v>
      </c>
      <c r="D71" s="98" t="s">
        <v>141</v>
      </c>
      <c r="E71" s="7"/>
    </row>
    <row r="72" customFormat="false" ht="12.8" hidden="false" customHeight="false" outlineLevel="0" collapsed="false">
      <c r="A72" s="7"/>
      <c r="B72" s="105" t="n">
        <v>0.5</v>
      </c>
      <c r="C72" s="105" t="s">
        <v>245</v>
      </c>
      <c r="D72" s="98" t="s">
        <v>160</v>
      </c>
      <c r="E72" s="7"/>
    </row>
    <row r="73" customFormat="false" ht="12.8" hidden="false" customHeight="false" outlineLevel="0" collapsed="false">
      <c r="A73" s="7"/>
      <c r="B73" s="105" t="n">
        <v>1</v>
      </c>
      <c r="C73" s="105" t="s">
        <v>246</v>
      </c>
      <c r="D73" s="98" t="s">
        <v>247</v>
      </c>
      <c r="E73" s="7"/>
    </row>
    <row r="74" customFormat="false" ht="12.8" hidden="false" customHeight="false" outlineLevel="0" collapsed="false">
      <c r="A74" s="7"/>
      <c r="B74" s="7"/>
      <c r="C74" s="7"/>
      <c r="D74" s="7"/>
      <c r="E74" s="7"/>
    </row>
    <row r="75" customFormat="false" ht="16.4" hidden="false" customHeight="true" outlineLevel="0" collapsed="false">
      <c r="A75" s="7"/>
      <c r="B75" s="95" t="s">
        <v>248</v>
      </c>
      <c r="C75" s="95"/>
      <c r="D75" s="95"/>
      <c r="E75" s="7"/>
    </row>
    <row r="76" customFormat="false" ht="13.8" hidden="false" customHeight="false" outlineLevel="0" collapsed="false">
      <c r="A76" s="7"/>
      <c r="B76" s="96" t="s">
        <v>229</v>
      </c>
      <c r="C76" s="96"/>
      <c r="D76" s="96" t="s">
        <v>166</v>
      </c>
      <c r="E76" s="7"/>
    </row>
    <row r="77" customFormat="false" ht="12.8" hidden="false" customHeight="false" outlineLevel="0" collapsed="false">
      <c r="A77" s="7"/>
      <c r="B77" s="105" t="n">
        <v>1</v>
      </c>
      <c r="C77" s="105" t="s">
        <v>249</v>
      </c>
      <c r="D77" s="98" t="s">
        <v>122</v>
      </c>
      <c r="E77" s="7"/>
    </row>
    <row r="78" customFormat="false" ht="12.8" hidden="false" customHeight="false" outlineLevel="0" collapsed="false">
      <c r="A78" s="7"/>
      <c r="B78" s="105" t="n">
        <v>1</v>
      </c>
      <c r="C78" s="105" t="s">
        <v>174</v>
      </c>
      <c r="D78" s="98" t="s">
        <v>149</v>
      </c>
      <c r="E78" s="7"/>
    </row>
    <row r="79" customFormat="false" ht="12.8" hidden="false" customHeight="false" outlineLevel="0" collapsed="false">
      <c r="A79" s="7"/>
      <c r="B79" s="105" t="n">
        <v>0.8</v>
      </c>
      <c r="C79" s="105" t="s">
        <v>250</v>
      </c>
      <c r="D79" s="98" t="s">
        <v>251</v>
      </c>
      <c r="E79" s="7"/>
    </row>
    <row r="80" customFormat="false" ht="12.8" hidden="false" customHeight="false" outlineLevel="0" collapsed="false">
      <c r="A80" s="7"/>
      <c r="B80" s="105" t="n">
        <v>0.5</v>
      </c>
      <c r="C80" s="105" t="s">
        <v>252</v>
      </c>
      <c r="D80" s="98" t="s">
        <v>156</v>
      </c>
      <c r="E80" s="7"/>
    </row>
    <row r="81" customFormat="false" ht="12.8" hidden="false" customHeight="false" outlineLevel="0" collapsed="false">
      <c r="A81" s="7"/>
      <c r="B81" s="105" t="n">
        <v>0</v>
      </c>
      <c r="C81" s="105" t="s">
        <v>253</v>
      </c>
      <c r="D81" s="98" t="s">
        <v>254</v>
      </c>
      <c r="E81" s="7"/>
    </row>
    <row r="82" customFormat="false" ht="12.8" hidden="false" customHeight="false" outlineLevel="0" collapsed="false">
      <c r="A82" s="7"/>
      <c r="B82" s="105" t="n">
        <v>0.8</v>
      </c>
      <c r="C82" s="105" t="s">
        <v>180</v>
      </c>
      <c r="D82" s="98" t="s">
        <v>141</v>
      </c>
      <c r="E82" s="7"/>
    </row>
    <row r="83" customFormat="false" ht="12.8" hidden="false" customHeight="false" outlineLevel="0" collapsed="false">
      <c r="A83" s="7"/>
      <c r="B83" s="105" t="n">
        <v>0.5</v>
      </c>
      <c r="C83" s="105" t="s">
        <v>245</v>
      </c>
      <c r="D83" s="98" t="s">
        <v>160</v>
      </c>
      <c r="E83" s="7"/>
    </row>
    <row r="84" customFormat="false" ht="12.8" hidden="false" customHeight="false" outlineLevel="0" collapsed="false">
      <c r="A84" s="7"/>
      <c r="B84" s="105" t="n">
        <v>1</v>
      </c>
      <c r="C84" s="105" t="s">
        <v>246</v>
      </c>
      <c r="D84" s="98" t="s">
        <v>247</v>
      </c>
      <c r="E84" s="7"/>
    </row>
    <row r="85" customFormat="false" ht="12.8" hidden="false" customHeight="false" outlineLevel="0" collapsed="false">
      <c r="A85" s="7"/>
      <c r="B85" s="7"/>
      <c r="C85" s="7"/>
      <c r="D85" s="7"/>
      <c r="E85" s="7"/>
    </row>
    <row r="86" customFormat="false" ht="16.4" hidden="false" customHeight="true" outlineLevel="0" collapsed="false">
      <c r="A86" s="7"/>
      <c r="B86" s="95" t="s">
        <v>255</v>
      </c>
      <c r="C86" s="95"/>
      <c r="D86" s="95"/>
      <c r="E86" s="7"/>
    </row>
    <row r="87" customFormat="false" ht="13.8" hidden="false" customHeight="false" outlineLevel="0" collapsed="false">
      <c r="A87" s="7"/>
      <c r="B87" s="96" t="s">
        <v>229</v>
      </c>
      <c r="C87" s="96"/>
      <c r="D87" s="96" t="s">
        <v>166</v>
      </c>
      <c r="E87" s="7"/>
    </row>
    <row r="88" customFormat="false" ht="12.8" hidden="false" customHeight="false" outlineLevel="0" collapsed="false">
      <c r="A88" s="7"/>
      <c r="B88" s="105" t="n">
        <v>1</v>
      </c>
      <c r="C88" s="105" t="s">
        <v>182</v>
      </c>
      <c r="D88" s="98" t="s">
        <v>121</v>
      </c>
      <c r="E88" s="7"/>
    </row>
    <row r="89" customFormat="false" ht="12.8" hidden="false" customHeight="false" outlineLevel="0" collapsed="false">
      <c r="A89" s="7"/>
      <c r="B89" s="105" t="n">
        <v>1</v>
      </c>
      <c r="C89" s="105" t="s">
        <v>178</v>
      </c>
      <c r="D89" s="98" t="s">
        <v>131</v>
      </c>
      <c r="E89" s="7"/>
    </row>
    <row r="90" customFormat="false" ht="12.8" hidden="false" customHeight="false" outlineLevel="0" collapsed="false">
      <c r="A90" s="7"/>
      <c r="B90" s="105" t="n">
        <v>0.9</v>
      </c>
      <c r="C90" s="105" t="s">
        <v>172</v>
      </c>
      <c r="D90" s="98" t="s">
        <v>139</v>
      </c>
      <c r="E90" s="7"/>
    </row>
    <row r="91" customFormat="false" ht="12.8" hidden="false" customHeight="false" outlineLevel="0" collapsed="false">
      <c r="A91" s="7"/>
      <c r="B91" s="105" t="n">
        <v>0.7</v>
      </c>
      <c r="C91" s="105" t="s">
        <v>188</v>
      </c>
      <c r="D91" s="98" t="s">
        <v>148</v>
      </c>
      <c r="E91" s="7"/>
    </row>
    <row r="92" customFormat="false" ht="12.8" hidden="false" customHeight="false" outlineLevel="0" collapsed="false">
      <c r="A92" s="7"/>
      <c r="B92" s="105" t="n">
        <v>0.6</v>
      </c>
      <c r="C92" s="105" t="s">
        <v>170</v>
      </c>
      <c r="D92" s="98" t="s">
        <v>155</v>
      </c>
      <c r="E92" s="7"/>
    </row>
    <row r="93" customFormat="false" ht="12.8" hidden="false" customHeight="false" outlineLevel="0" collapsed="false">
      <c r="A93" s="7"/>
      <c r="B93" s="105" t="n">
        <v>0.6</v>
      </c>
      <c r="C93" s="105" t="s">
        <v>180</v>
      </c>
      <c r="D93" s="98" t="s">
        <v>141</v>
      </c>
      <c r="E93" s="7"/>
    </row>
    <row r="94" customFormat="false" ht="12.8" hidden="false" customHeight="false" outlineLevel="0" collapsed="false">
      <c r="A94" s="7"/>
      <c r="B94" s="105" t="n">
        <v>0.5</v>
      </c>
      <c r="C94" s="105" t="s">
        <v>245</v>
      </c>
      <c r="D94" s="98" t="s">
        <v>160</v>
      </c>
      <c r="E94" s="7"/>
    </row>
    <row r="95" customFormat="false" ht="12.8" hidden="false" customHeight="false" outlineLevel="0" collapsed="false">
      <c r="A95" s="7"/>
      <c r="B95" s="105" t="n">
        <v>1</v>
      </c>
      <c r="C95" s="105" t="s">
        <v>246</v>
      </c>
      <c r="D95" s="98" t="s">
        <v>247</v>
      </c>
      <c r="E95" s="7"/>
    </row>
    <row r="96" customFormat="false" ht="12.8" hidden="false" customHeight="false" outlineLevel="0" collapsed="false">
      <c r="A96" s="7"/>
      <c r="B96" s="7"/>
      <c r="C96" s="7"/>
      <c r="D96" s="7"/>
      <c r="E96" s="7"/>
    </row>
    <row r="97" customFormat="false" ht="16.4" hidden="false" customHeight="true" outlineLevel="0" collapsed="false">
      <c r="A97" s="7"/>
      <c r="B97" s="95" t="s">
        <v>256</v>
      </c>
      <c r="C97" s="95"/>
      <c r="D97" s="95"/>
      <c r="E97" s="7"/>
    </row>
    <row r="98" customFormat="false" ht="13.8" hidden="false" customHeight="false" outlineLevel="0" collapsed="false">
      <c r="A98" s="7"/>
      <c r="B98" s="96" t="s">
        <v>229</v>
      </c>
      <c r="C98" s="96"/>
      <c r="D98" s="96" t="s">
        <v>166</v>
      </c>
      <c r="E98" s="7"/>
    </row>
    <row r="99" customFormat="false" ht="12.8" hidden="false" customHeight="false" outlineLevel="0" collapsed="false">
      <c r="A99" s="7"/>
      <c r="B99" s="105" t="n">
        <v>1</v>
      </c>
      <c r="C99" s="105" t="s">
        <v>188</v>
      </c>
      <c r="D99" s="98" t="s">
        <v>124</v>
      </c>
      <c r="E99" s="7"/>
    </row>
    <row r="100" customFormat="false" ht="12.8" hidden="false" customHeight="false" outlineLevel="0" collapsed="false">
      <c r="A100" s="7"/>
      <c r="B100" s="105" t="n">
        <v>0.7</v>
      </c>
      <c r="C100" s="105" t="s">
        <v>180</v>
      </c>
      <c r="D100" s="98" t="s">
        <v>141</v>
      </c>
      <c r="E100" s="7"/>
    </row>
    <row r="101" customFormat="false" ht="12.8" hidden="false" customHeight="false" outlineLevel="0" collapsed="false">
      <c r="A101" s="7"/>
      <c r="B101" s="105" t="n">
        <v>0.4</v>
      </c>
      <c r="C101" s="105" t="s">
        <v>170</v>
      </c>
      <c r="D101" s="98" t="s">
        <v>257</v>
      </c>
      <c r="E101" s="7"/>
    </row>
    <row r="102" customFormat="false" ht="12.8" hidden="false" customHeight="false" outlineLevel="0" collapsed="false">
      <c r="A102" s="7"/>
      <c r="B102" s="105" t="n">
        <v>0.6</v>
      </c>
      <c r="C102" s="105" t="s">
        <v>258</v>
      </c>
      <c r="D102" s="98" t="s">
        <v>141</v>
      </c>
      <c r="E102" s="7"/>
    </row>
    <row r="103" customFormat="false" ht="12.8" hidden="false" customHeight="false" outlineLevel="0" collapsed="false">
      <c r="A103" s="7"/>
      <c r="B103" s="105" t="n">
        <v>0.5</v>
      </c>
      <c r="C103" s="105" t="s">
        <v>245</v>
      </c>
      <c r="D103" s="98" t="s">
        <v>160</v>
      </c>
      <c r="E103" s="7"/>
    </row>
    <row r="104" customFormat="false" ht="12.8" hidden="false" customHeight="false" outlineLevel="0" collapsed="false">
      <c r="A104" s="7"/>
      <c r="B104" s="105" t="n">
        <v>1</v>
      </c>
      <c r="C104" s="105" t="s">
        <v>246</v>
      </c>
      <c r="D104" s="98" t="s">
        <v>247</v>
      </c>
      <c r="E104" s="7"/>
    </row>
    <row r="105" customFormat="false" ht="12.8" hidden="false" customHeight="false" outlineLevel="0" collapsed="false">
      <c r="A105" s="7"/>
      <c r="B105" s="7"/>
      <c r="C105" s="7"/>
      <c r="D105" s="7"/>
      <c r="E105" s="7"/>
    </row>
    <row r="106" customFormat="false" ht="16.4" hidden="false" customHeight="true" outlineLevel="0" collapsed="false">
      <c r="A106" s="7"/>
      <c r="B106" s="95" t="s">
        <v>259</v>
      </c>
      <c r="C106" s="95"/>
      <c r="D106" s="95"/>
      <c r="E106" s="7"/>
    </row>
    <row r="107" customFormat="false" ht="13.8" hidden="false" customHeight="false" outlineLevel="0" collapsed="false">
      <c r="A107" s="7"/>
      <c r="B107" s="96" t="s">
        <v>229</v>
      </c>
      <c r="C107" s="96"/>
      <c r="D107" s="96" t="s">
        <v>166</v>
      </c>
      <c r="E107" s="7"/>
    </row>
    <row r="108" customFormat="false" ht="12.8" hidden="false" customHeight="false" outlineLevel="0" collapsed="false">
      <c r="A108" s="7"/>
      <c r="B108" s="105" t="n">
        <v>1</v>
      </c>
      <c r="C108" s="105" t="s">
        <v>170</v>
      </c>
      <c r="D108" s="98" t="s">
        <v>11</v>
      </c>
      <c r="E108" s="7"/>
    </row>
    <row r="109" customFormat="false" ht="12.8" hidden="false" customHeight="false" outlineLevel="0" collapsed="false">
      <c r="A109" s="7"/>
      <c r="B109" s="105" t="n">
        <v>0.8</v>
      </c>
      <c r="C109" s="105" t="s">
        <v>190</v>
      </c>
      <c r="D109" s="98" t="s">
        <v>142</v>
      </c>
      <c r="E109" s="7"/>
    </row>
    <row r="110" customFormat="false" ht="12.8" hidden="false" customHeight="false" outlineLevel="0" collapsed="false">
      <c r="A110" s="7"/>
      <c r="B110" s="105" t="n">
        <v>0.5</v>
      </c>
      <c r="C110" s="105" t="s">
        <v>260</v>
      </c>
      <c r="D110" s="98" t="s">
        <v>152</v>
      </c>
      <c r="E110" s="7"/>
    </row>
    <row r="111" customFormat="false" ht="12.8" hidden="false" customHeight="false" outlineLevel="0" collapsed="false">
      <c r="A111" s="7"/>
      <c r="B111" s="105" t="n">
        <v>0.8</v>
      </c>
      <c r="C111" s="105" t="s">
        <v>180</v>
      </c>
      <c r="D111" s="98" t="s">
        <v>141</v>
      </c>
      <c r="E111" s="7"/>
    </row>
    <row r="112" customFormat="false" ht="12.8" hidden="false" customHeight="false" outlineLevel="0" collapsed="false">
      <c r="A112" s="7"/>
      <c r="B112" s="105" t="n">
        <v>0.5</v>
      </c>
      <c r="C112" s="105" t="s">
        <v>245</v>
      </c>
      <c r="D112" s="98" t="s">
        <v>160</v>
      </c>
      <c r="E112" s="7"/>
    </row>
    <row r="113" customFormat="false" ht="12.8" hidden="false" customHeight="false" outlineLevel="0" collapsed="false">
      <c r="A113" s="7"/>
      <c r="B113" s="105" t="n">
        <v>1</v>
      </c>
      <c r="C113" s="105" t="s">
        <v>246</v>
      </c>
      <c r="D113" s="98" t="s">
        <v>247</v>
      </c>
      <c r="E113" s="7"/>
    </row>
    <row r="114" customFormat="false" ht="12.8" hidden="false" customHeight="false" outlineLevel="0" collapsed="false">
      <c r="A114" s="7"/>
      <c r="B114" s="7"/>
      <c r="C114" s="7"/>
      <c r="D114" s="7"/>
      <c r="E114" s="7"/>
    </row>
    <row r="115" customFormat="false" ht="16.4" hidden="false" customHeight="true" outlineLevel="0" collapsed="false">
      <c r="A115" s="7"/>
      <c r="B115" s="95" t="s">
        <v>261</v>
      </c>
      <c r="C115" s="95"/>
      <c r="D115" s="95"/>
      <c r="E115" s="7"/>
    </row>
    <row r="116" customFormat="false" ht="13.8" hidden="false" customHeight="false" outlineLevel="0" collapsed="false">
      <c r="A116" s="7"/>
      <c r="B116" s="96" t="s">
        <v>229</v>
      </c>
      <c r="C116" s="96"/>
      <c r="D116" s="96" t="s">
        <v>166</v>
      </c>
      <c r="E116" s="7"/>
    </row>
    <row r="117" customFormat="false" ht="12.8" hidden="false" customHeight="false" outlineLevel="0" collapsed="false">
      <c r="A117" s="7"/>
      <c r="B117" s="105" t="n">
        <v>1</v>
      </c>
      <c r="C117" s="105" t="s">
        <v>170</v>
      </c>
      <c r="D117" s="98" t="s">
        <v>11</v>
      </c>
      <c r="E117" s="7"/>
    </row>
    <row r="118" customFormat="false" ht="12.8" hidden="false" customHeight="false" outlineLevel="0" collapsed="false">
      <c r="A118" s="7"/>
      <c r="B118" s="105" t="n">
        <v>0.8</v>
      </c>
      <c r="C118" s="105" t="s">
        <v>233</v>
      </c>
      <c r="D118" s="98" t="s">
        <v>133</v>
      </c>
      <c r="E118" s="7"/>
    </row>
    <row r="119" customFormat="false" ht="12.8" hidden="false" customHeight="false" outlineLevel="0" collapsed="false">
      <c r="A119" s="7"/>
      <c r="B119" s="105" t="n">
        <v>0.5</v>
      </c>
      <c r="C119" s="105" t="s">
        <v>172</v>
      </c>
      <c r="D119" s="98" t="s">
        <v>143</v>
      </c>
      <c r="E119" s="7"/>
    </row>
    <row r="120" customFormat="false" ht="12.8" hidden="false" customHeight="false" outlineLevel="0" collapsed="false">
      <c r="A120" s="7"/>
      <c r="B120" s="105" t="n">
        <v>0.8</v>
      </c>
      <c r="C120" s="105" t="s">
        <v>180</v>
      </c>
      <c r="D120" s="98" t="s">
        <v>141</v>
      </c>
      <c r="E120" s="7"/>
    </row>
    <row r="121" customFormat="false" ht="12.8" hidden="false" customHeight="false" outlineLevel="0" collapsed="false">
      <c r="A121" s="7"/>
      <c r="B121" s="105" t="n">
        <v>0.5</v>
      </c>
      <c r="C121" s="105" t="s">
        <v>245</v>
      </c>
      <c r="D121" s="98" t="s">
        <v>160</v>
      </c>
      <c r="E121" s="7"/>
    </row>
    <row r="122" customFormat="false" ht="12.8" hidden="false" customHeight="false" outlineLevel="0" collapsed="false">
      <c r="A122" s="7"/>
      <c r="B122" s="105" t="n">
        <v>1</v>
      </c>
      <c r="C122" s="105" t="s">
        <v>246</v>
      </c>
      <c r="D122" s="98" t="s">
        <v>247</v>
      </c>
      <c r="E122" s="7"/>
    </row>
    <row r="123" customFormat="false" ht="12.8" hidden="false" customHeight="false" outlineLevel="0" collapsed="false">
      <c r="A123" s="7"/>
      <c r="B123" s="7"/>
      <c r="C123" s="7"/>
      <c r="D123" s="7"/>
      <c r="E123" s="7"/>
    </row>
    <row r="124" customFormat="false" ht="16.4" hidden="false" customHeight="true" outlineLevel="0" collapsed="false">
      <c r="A124" s="7"/>
      <c r="B124" s="95" t="s">
        <v>262</v>
      </c>
      <c r="C124" s="95"/>
      <c r="D124" s="95"/>
      <c r="E124" s="7"/>
    </row>
    <row r="125" customFormat="false" ht="13.8" hidden="false" customHeight="false" outlineLevel="0" collapsed="false">
      <c r="A125" s="7"/>
      <c r="B125" s="96" t="s">
        <v>229</v>
      </c>
      <c r="C125" s="96"/>
      <c r="D125" s="96" t="s">
        <v>166</v>
      </c>
      <c r="E125" s="7"/>
    </row>
    <row r="126" customFormat="false" ht="12.8" hidden="false" customHeight="false" outlineLevel="0" collapsed="false">
      <c r="A126" s="7"/>
      <c r="B126" s="105" t="n">
        <v>1</v>
      </c>
      <c r="C126" s="105" t="s">
        <v>188</v>
      </c>
      <c r="D126" s="98" t="s">
        <v>125</v>
      </c>
      <c r="E126" s="7"/>
    </row>
    <row r="127" customFormat="false" ht="12.8" hidden="false" customHeight="false" outlineLevel="0" collapsed="false">
      <c r="A127" s="7"/>
      <c r="B127" s="105" t="n">
        <v>0.9</v>
      </c>
      <c r="C127" s="105" t="s">
        <v>191</v>
      </c>
      <c r="D127" s="98" t="s">
        <v>134</v>
      </c>
      <c r="E127" s="7"/>
    </row>
    <row r="128" customFormat="false" ht="12.8" hidden="false" customHeight="false" outlineLevel="0" collapsed="false">
      <c r="A128" s="7"/>
      <c r="B128" s="105" t="n">
        <v>0.7</v>
      </c>
      <c r="C128" s="105" t="s">
        <v>197</v>
      </c>
      <c r="D128" s="98" t="s">
        <v>144</v>
      </c>
      <c r="E128" s="7"/>
    </row>
    <row r="129" customFormat="false" ht="12.8" hidden="false" customHeight="false" outlineLevel="0" collapsed="false">
      <c r="A129" s="7"/>
      <c r="B129" s="105" t="n">
        <v>0.5</v>
      </c>
      <c r="C129" s="105" t="s">
        <v>170</v>
      </c>
      <c r="D129" s="98" t="s">
        <v>11</v>
      </c>
      <c r="E129" s="7"/>
    </row>
    <row r="130" customFormat="false" ht="12.8" hidden="false" customHeight="false" outlineLevel="0" collapsed="false">
      <c r="A130" s="7"/>
      <c r="B130" s="105" t="n">
        <v>0.8</v>
      </c>
      <c r="C130" s="105" t="s">
        <v>180</v>
      </c>
      <c r="D130" s="98" t="s">
        <v>141</v>
      </c>
      <c r="E130" s="7"/>
    </row>
    <row r="131" customFormat="false" ht="12.8" hidden="false" customHeight="false" outlineLevel="0" collapsed="false">
      <c r="A131" s="7"/>
      <c r="B131" s="105" t="n">
        <v>0.5</v>
      </c>
      <c r="C131" s="105" t="s">
        <v>245</v>
      </c>
      <c r="D131" s="98" t="s">
        <v>160</v>
      </c>
      <c r="E131" s="7"/>
    </row>
    <row r="132" customFormat="false" ht="12.8" hidden="false" customHeight="false" outlineLevel="0" collapsed="false">
      <c r="A132" s="7"/>
      <c r="B132" s="105" t="n">
        <v>1</v>
      </c>
      <c r="C132" s="105" t="s">
        <v>246</v>
      </c>
      <c r="D132" s="98" t="s">
        <v>247</v>
      </c>
      <c r="E132" s="7"/>
    </row>
    <row r="133" customFormat="false" ht="12.8" hidden="false" customHeight="false" outlineLevel="0" collapsed="false">
      <c r="A133" s="7"/>
      <c r="B133" s="7"/>
      <c r="C133" s="7"/>
      <c r="D133" s="7"/>
      <c r="E133" s="7"/>
    </row>
    <row r="134" customFormat="false" ht="16.4" hidden="false" customHeight="true" outlineLevel="0" collapsed="false">
      <c r="A134" s="7"/>
      <c r="B134" s="95" t="s">
        <v>263</v>
      </c>
      <c r="C134" s="95"/>
      <c r="D134" s="95"/>
      <c r="E134" s="7"/>
    </row>
    <row r="135" customFormat="false" ht="13.8" hidden="false" customHeight="false" outlineLevel="0" collapsed="false">
      <c r="A135" s="7"/>
      <c r="B135" s="96" t="s">
        <v>229</v>
      </c>
      <c r="C135" s="96"/>
      <c r="D135" s="96" t="s">
        <v>166</v>
      </c>
      <c r="E135" s="7"/>
    </row>
    <row r="136" customFormat="false" ht="12.8" hidden="false" customHeight="false" outlineLevel="0" collapsed="false">
      <c r="A136" s="7"/>
      <c r="B136" s="105" t="n">
        <v>1</v>
      </c>
      <c r="C136" s="105" t="s">
        <v>233</v>
      </c>
      <c r="D136" s="98" t="s">
        <v>126</v>
      </c>
      <c r="E136" s="7"/>
    </row>
    <row r="137" customFormat="false" ht="12.8" hidden="false" customHeight="false" outlineLevel="0" collapsed="false">
      <c r="A137" s="7"/>
      <c r="B137" s="105" t="n">
        <v>0.8</v>
      </c>
      <c r="C137" s="105" t="s">
        <v>230</v>
      </c>
      <c r="D137" s="98" t="s">
        <v>135</v>
      </c>
      <c r="E137" s="7"/>
    </row>
    <row r="138" customFormat="false" ht="12.8" hidden="false" customHeight="false" outlineLevel="0" collapsed="false">
      <c r="A138" s="7"/>
      <c r="B138" s="105" t="n">
        <v>0.5</v>
      </c>
      <c r="C138" s="105" t="s">
        <v>260</v>
      </c>
      <c r="D138" s="98" t="s">
        <v>145</v>
      </c>
      <c r="E138" s="7"/>
    </row>
    <row r="139" customFormat="false" ht="12.8" hidden="false" customHeight="false" outlineLevel="0" collapsed="false">
      <c r="A139" s="7"/>
      <c r="B139" s="105" t="n">
        <v>0.3</v>
      </c>
      <c r="C139" s="105" t="s">
        <v>176</v>
      </c>
      <c r="D139" s="98" t="s">
        <v>153</v>
      </c>
      <c r="E139" s="7"/>
    </row>
    <row r="140" customFormat="false" ht="12.8" hidden="false" customHeight="false" outlineLevel="0" collapsed="false">
      <c r="A140" s="7"/>
      <c r="B140" s="105" t="n">
        <v>0.8</v>
      </c>
      <c r="C140" s="105" t="s">
        <v>180</v>
      </c>
      <c r="D140" s="98" t="s">
        <v>141</v>
      </c>
      <c r="E140" s="7"/>
    </row>
    <row r="141" customFormat="false" ht="12.8" hidden="false" customHeight="false" outlineLevel="0" collapsed="false">
      <c r="A141" s="7"/>
      <c r="B141" s="105" t="n">
        <v>0.5</v>
      </c>
      <c r="C141" s="105" t="s">
        <v>245</v>
      </c>
      <c r="D141" s="98" t="s">
        <v>160</v>
      </c>
      <c r="E141" s="7"/>
    </row>
    <row r="142" customFormat="false" ht="12.8" hidden="false" customHeight="false" outlineLevel="0" collapsed="false">
      <c r="A142" s="7"/>
      <c r="B142" s="105" t="n">
        <v>1</v>
      </c>
      <c r="C142" s="105" t="s">
        <v>246</v>
      </c>
      <c r="D142" s="98" t="s">
        <v>247</v>
      </c>
      <c r="E142" s="7"/>
    </row>
    <row r="143" customFormat="false" ht="12.8" hidden="false" customHeight="false" outlineLevel="0" collapsed="false">
      <c r="A143" s="7"/>
      <c r="B143" s="7"/>
      <c r="C143" s="7"/>
      <c r="D143" s="7"/>
      <c r="E143" s="7"/>
    </row>
    <row r="144" customFormat="false" ht="16.4" hidden="false" customHeight="true" outlineLevel="0" collapsed="false">
      <c r="A144" s="7"/>
      <c r="B144" s="95" t="s">
        <v>264</v>
      </c>
      <c r="C144" s="95"/>
      <c r="D144" s="95"/>
      <c r="E144" s="7"/>
    </row>
    <row r="145" customFormat="false" ht="13.8" hidden="false" customHeight="false" outlineLevel="0" collapsed="false">
      <c r="A145" s="7"/>
      <c r="B145" s="96" t="s">
        <v>229</v>
      </c>
      <c r="C145" s="96"/>
      <c r="D145" s="96" t="s">
        <v>166</v>
      </c>
      <c r="E145" s="7"/>
    </row>
    <row r="146" customFormat="false" ht="12.8" hidden="false" customHeight="false" outlineLevel="0" collapsed="false">
      <c r="A146" s="7"/>
      <c r="B146" s="105" t="n">
        <v>1</v>
      </c>
      <c r="C146" s="105" t="s">
        <v>170</v>
      </c>
      <c r="D146" s="98" t="s">
        <v>11</v>
      </c>
      <c r="E146" s="7"/>
    </row>
    <row r="147" customFormat="false" ht="12.8" hidden="false" customHeight="false" outlineLevel="0" collapsed="false">
      <c r="A147" s="7"/>
      <c r="B147" s="105" t="n">
        <v>0.7</v>
      </c>
      <c r="C147" s="105" t="s">
        <v>191</v>
      </c>
      <c r="D147" s="98" t="s">
        <v>136</v>
      </c>
      <c r="E147" s="7"/>
    </row>
    <row r="148" customFormat="false" ht="12.8" hidden="false" customHeight="false" outlineLevel="0" collapsed="false">
      <c r="A148" s="7"/>
      <c r="B148" s="105" t="n">
        <v>0.4</v>
      </c>
      <c r="C148" s="105" t="s">
        <v>172</v>
      </c>
      <c r="D148" s="98" t="s">
        <v>146</v>
      </c>
      <c r="E148" s="7"/>
    </row>
    <row r="149" customFormat="false" ht="12.8" hidden="false" customHeight="false" outlineLevel="0" collapsed="false">
      <c r="A149" s="7"/>
      <c r="B149" s="105" t="n">
        <v>0.1</v>
      </c>
      <c r="C149" s="105" t="s">
        <v>194</v>
      </c>
      <c r="D149" s="98" t="s">
        <v>8</v>
      </c>
      <c r="E149" s="7"/>
    </row>
    <row r="150" customFormat="false" ht="12.8" hidden="false" customHeight="false" outlineLevel="0" collapsed="false">
      <c r="A150" s="7"/>
      <c r="B150" s="105" t="n">
        <v>0.8</v>
      </c>
      <c r="C150" s="105" t="s">
        <v>180</v>
      </c>
      <c r="D150" s="98" t="s">
        <v>141</v>
      </c>
      <c r="E150" s="7"/>
    </row>
    <row r="151" customFormat="false" ht="12.8" hidden="false" customHeight="false" outlineLevel="0" collapsed="false">
      <c r="A151" s="7"/>
      <c r="B151" s="105" t="n">
        <v>0.5</v>
      </c>
      <c r="C151" s="105" t="s">
        <v>245</v>
      </c>
      <c r="D151" s="98" t="s">
        <v>160</v>
      </c>
      <c r="E151" s="7"/>
    </row>
    <row r="152" customFormat="false" ht="12.8" hidden="false" customHeight="false" outlineLevel="0" collapsed="false">
      <c r="A152" s="7"/>
      <c r="B152" s="105" t="n">
        <v>1</v>
      </c>
      <c r="C152" s="105" t="s">
        <v>246</v>
      </c>
      <c r="D152" s="98" t="s">
        <v>247</v>
      </c>
      <c r="E152" s="7"/>
    </row>
    <row r="153" customFormat="false" ht="12.8" hidden="false" customHeight="false" outlineLevel="0" collapsed="false">
      <c r="A153" s="7"/>
      <c r="B153" s="7"/>
      <c r="C153" s="7"/>
      <c r="D153" s="7"/>
      <c r="E153" s="7"/>
    </row>
  </sheetData>
  <mergeCells count="18">
    <mergeCell ref="B2:D2"/>
    <mergeCell ref="B10:D10"/>
    <mergeCell ref="B17:D17"/>
    <mergeCell ref="B25:D25"/>
    <mergeCell ref="B31:D31"/>
    <mergeCell ref="B37:D37"/>
    <mergeCell ref="B43:D43"/>
    <mergeCell ref="B51:D51"/>
    <mergeCell ref="B57:D57"/>
    <mergeCell ref="B64:D64"/>
    <mergeCell ref="B75:D75"/>
    <mergeCell ref="B86:D86"/>
    <mergeCell ref="B97:D97"/>
    <mergeCell ref="B106:D106"/>
    <mergeCell ref="B115:D115"/>
    <mergeCell ref="B124:D124"/>
    <mergeCell ref="B134:D134"/>
    <mergeCell ref="B144:D144"/>
  </mergeCells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808080"/>
    <pageSetUpPr fitToPage="false"/>
  </sheetPr>
  <dimension ref="A1:H7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I9" activeCellId="0" sqref="I9"/>
    </sheetView>
  </sheetViews>
  <sheetFormatPr defaultColWidth="11.53515625" defaultRowHeight="12.8" zeroHeight="false" outlineLevelRow="0" outlineLevelCol="0"/>
  <cols>
    <col collapsed="false" customWidth="true" hidden="false" outlineLevel="0" max="2" min="2" style="26" width="14.88"/>
    <col collapsed="false" customWidth="true" hidden="false" outlineLevel="0" max="3" min="3" style="1" width="18.08"/>
  </cols>
  <sheetData>
    <row r="1" customFormat="false" ht="12.8" hidden="false" customHeight="false" outlineLevel="0" collapsed="false">
      <c r="A1" s="7"/>
      <c r="B1" s="107" t="str">
        <f aca="false">IF(EnableCharacterization="Yes (Y)","Y","N")</f>
        <v>N</v>
      </c>
      <c r="C1" s="7"/>
      <c r="D1" s="7"/>
      <c r="E1" s="7"/>
      <c r="F1" s="7"/>
      <c r="G1" s="7"/>
      <c r="H1" s="7"/>
    </row>
    <row r="2" customFormat="false" ht="12.8" hidden="false" customHeight="false" outlineLevel="0" collapsed="false">
      <c r="A2" s="7"/>
      <c r="B2" s="108"/>
      <c r="C2" s="7"/>
      <c r="D2" s="7"/>
      <c r="E2" s="7"/>
      <c r="F2" s="7"/>
      <c r="G2" s="7"/>
      <c r="H2" s="7"/>
    </row>
    <row r="3" customFormat="false" ht="16.4" hidden="false" customHeight="true" outlineLevel="0" collapsed="false">
      <c r="A3" s="7"/>
      <c r="B3" s="95" t="s">
        <v>60</v>
      </c>
      <c r="C3" s="95"/>
      <c r="D3" s="95"/>
      <c r="E3" s="7"/>
      <c r="F3" s="7"/>
      <c r="G3" s="7"/>
      <c r="H3" s="7"/>
    </row>
    <row r="4" customFormat="false" ht="13.8" hidden="false" customHeight="false" outlineLevel="0" collapsed="false">
      <c r="A4" s="7"/>
      <c r="B4" s="96" t="s">
        <v>169</v>
      </c>
      <c r="C4" s="96" t="s">
        <v>171</v>
      </c>
      <c r="D4" s="96" t="s">
        <v>265</v>
      </c>
      <c r="E4" s="7"/>
      <c r="F4" s="7"/>
      <c r="G4" s="7"/>
      <c r="H4" s="7"/>
    </row>
    <row r="5" customFormat="false" ht="16.4" hidden="false" customHeight="false" outlineLevel="0" collapsed="false">
      <c r="A5" s="7"/>
      <c r="B5" s="109" t="n">
        <f aca="false">COUNTIF(Character_MAV,"Yes (Y)")</f>
        <v>2</v>
      </c>
      <c r="C5" s="109" t="n">
        <f aca="false">COUNTIF(Character_MAV,"No (N)")</f>
        <v>1</v>
      </c>
      <c r="D5" s="110" t="n">
        <f aca="false">B5/SUM(B5:C5)</f>
        <v>0.666666666666667</v>
      </c>
      <c r="E5" s="7"/>
      <c r="F5" s="7"/>
      <c r="G5" s="7"/>
      <c r="H5" s="7"/>
    </row>
    <row r="6" customFormat="false" ht="13.8" hidden="false" customHeight="false" outlineLevel="0" collapsed="false">
      <c r="A6" s="7"/>
      <c r="B6" s="111" t="s">
        <v>266</v>
      </c>
      <c r="C6" s="96" t="s">
        <v>267</v>
      </c>
      <c r="D6" s="112" t="n">
        <v>1</v>
      </c>
      <c r="E6" s="112" t="n">
        <v>0.6</v>
      </c>
      <c r="F6" s="112" t="n">
        <v>0.3</v>
      </c>
      <c r="G6" s="112" t="n">
        <v>0</v>
      </c>
      <c r="H6" s="7"/>
    </row>
    <row r="7" customFormat="false" ht="12.8" hidden="false" customHeight="false" outlineLevel="0" collapsed="false">
      <c r="A7" s="7"/>
      <c r="B7" s="113" t="str">
        <f aca="false">_LOOKUPS_CVSS!D4</f>
        <v>Network (N)</v>
      </c>
      <c r="C7" s="113" t="str">
        <f aca="false">IF($B$1="N",$B7,IF($D$5&gt;=$D$6,$D7,IF($D$5&gt;=$E$6,$E7,IF($D$5&gt;=$F$6,$F7,$G7))))</f>
        <v>Network (N)</v>
      </c>
      <c r="D7" s="24" t="s">
        <v>268</v>
      </c>
      <c r="E7" s="24" t="s">
        <v>269</v>
      </c>
      <c r="F7" s="24" t="s">
        <v>270</v>
      </c>
      <c r="G7" s="114" t="s">
        <v>271</v>
      </c>
      <c r="H7" s="7"/>
    </row>
    <row r="8" customFormat="false" ht="12.8" hidden="false" customHeight="false" outlineLevel="0" collapsed="false">
      <c r="A8" s="7"/>
      <c r="B8" s="113" t="str">
        <f aca="false">_LOOKUPS_CVSS!D5</f>
        <v>Adjacent (A)</v>
      </c>
      <c r="C8" s="113" t="str">
        <f aca="false">IF($B$1="N",$B8,IF($D$5&gt;=$D$6,$D8,IF($D$5&gt;=$E$6,$E8,IF($D$5&gt;=$F$6,$F8,$G8))))</f>
        <v>Adjacent (A)</v>
      </c>
      <c r="D8" s="24" t="s">
        <v>268</v>
      </c>
      <c r="E8" s="24" t="s">
        <v>269</v>
      </c>
      <c r="F8" s="24" t="s">
        <v>270</v>
      </c>
      <c r="G8" s="24" t="s">
        <v>270</v>
      </c>
      <c r="H8" s="7"/>
    </row>
    <row r="9" customFormat="false" ht="12.8" hidden="false" customHeight="false" outlineLevel="0" collapsed="false">
      <c r="A9" s="7"/>
      <c r="B9" s="113" t="str">
        <f aca="false">_LOOKUPS_CVSS!D6</f>
        <v>Local (L)</v>
      </c>
      <c r="C9" s="113" t="str">
        <f aca="false">IF($B$1="N",$B9,IF($D$5&gt;=$D$6,$D9,IF($D$5&gt;=$E$6,$E9,IF($D$5&gt;=$F$6,$F9,$G9))))</f>
        <v>Local (L)</v>
      </c>
      <c r="D9" s="24" t="s">
        <v>268</v>
      </c>
      <c r="E9" s="24" t="s">
        <v>268</v>
      </c>
      <c r="F9" s="24" t="s">
        <v>269</v>
      </c>
      <c r="G9" s="24" t="s">
        <v>269</v>
      </c>
      <c r="H9" s="7"/>
    </row>
    <row r="10" customFormat="false" ht="12.8" hidden="false" customHeight="false" outlineLevel="0" collapsed="false">
      <c r="A10" s="7"/>
      <c r="B10" s="113" t="str">
        <f aca="false">_LOOKUPS_CVSS!D7</f>
        <v>Physical (P)</v>
      </c>
      <c r="C10" s="113" t="str">
        <f aca="false">IF($B$1="N",$B10,IF($D$5&gt;=$D$6,$D10,IF($D$5&gt;=$E$6,$E10,IF($D$5&gt;=$F$6,$F10,$G10))))</f>
        <v>Physical (P)</v>
      </c>
      <c r="D10" s="24" t="s">
        <v>268</v>
      </c>
      <c r="E10" s="24" t="s">
        <v>268</v>
      </c>
      <c r="F10" s="24" t="s">
        <v>268</v>
      </c>
      <c r="G10" s="24" t="s">
        <v>268</v>
      </c>
      <c r="H10" s="7"/>
    </row>
    <row r="11" customFormat="false" ht="12.8" hidden="false" customHeight="false" outlineLevel="0" collapsed="false">
      <c r="A11" s="7"/>
      <c r="B11" s="7"/>
      <c r="C11" s="7"/>
      <c r="D11" s="7"/>
      <c r="E11" s="7"/>
      <c r="F11" s="7"/>
      <c r="G11" s="7"/>
      <c r="H11" s="7"/>
    </row>
    <row r="12" customFormat="false" ht="16.4" hidden="false" customHeight="true" outlineLevel="0" collapsed="false">
      <c r="A12" s="7"/>
      <c r="B12" s="115" t="s">
        <v>61</v>
      </c>
      <c r="C12" s="115"/>
      <c r="D12" s="7"/>
      <c r="E12" s="7"/>
      <c r="F12" s="7"/>
      <c r="G12" s="7"/>
      <c r="H12" s="7"/>
    </row>
    <row r="13" customFormat="false" ht="13.8" hidden="false" customHeight="false" outlineLevel="0" collapsed="false">
      <c r="A13" s="7"/>
      <c r="B13" s="96" t="s">
        <v>169</v>
      </c>
      <c r="C13" s="96" t="s">
        <v>171</v>
      </c>
      <c r="D13" s="96" t="s">
        <v>265</v>
      </c>
      <c r="E13" s="7"/>
      <c r="F13" s="7"/>
      <c r="G13" s="7"/>
      <c r="H13" s="7"/>
    </row>
    <row r="14" customFormat="false" ht="16.4" hidden="false" customHeight="false" outlineLevel="0" collapsed="false">
      <c r="A14" s="7"/>
      <c r="B14" s="109" t="n">
        <f aca="false">COUNTIF(Character_MAC,"Yes (Y)")</f>
        <v>0</v>
      </c>
      <c r="C14" s="109" t="n">
        <f aca="false">COUNTIF(Character_MAC,"No (N)")</f>
        <v>2</v>
      </c>
      <c r="D14" s="110" t="n">
        <f aca="false">B14/SUM(B14:C14)</f>
        <v>0</v>
      </c>
      <c r="E14" s="7"/>
      <c r="F14" s="7"/>
      <c r="G14" s="7"/>
      <c r="H14" s="7"/>
    </row>
    <row r="15" customFormat="false" ht="13.8" hidden="false" customHeight="false" outlineLevel="0" collapsed="false">
      <c r="A15" s="7"/>
      <c r="B15" s="111" t="s">
        <v>165</v>
      </c>
      <c r="C15" s="96" t="s">
        <v>167</v>
      </c>
      <c r="D15" s="112" t="n">
        <v>1</v>
      </c>
      <c r="E15" s="112" t="n">
        <v>0.6</v>
      </c>
      <c r="F15" s="112" t="n">
        <v>0.3</v>
      </c>
      <c r="G15" s="112" t="n">
        <v>0</v>
      </c>
      <c r="H15" s="7"/>
    </row>
    <row r="16" customFormat="false" ht="12.8" hidden="false" customHeight="false" outlineLevel="0" collapsed="false">
      <c r="A16" s="7"/>
      <c r="B16" s="113" t="str">
        <f aca="false">_LOOKUPS_CVSS!D11</f>
        <v>Low (L)</v>
      </c>
      <c r="C16" s="113" t="str">
        <f aca="false">IF($B$1="N",$B16,IF($D$14&gt;=$D$15,$D16,IF($D$14&gt;=$E$15,$E16,IF($D$14&gt;=$F$15,$F16,$G16))))</f>
        <v>Low (L)</v>
      </c>
      <c r="D16" s="24" t="s">
        <v>272</v>
      </c>
      <c r="E16" s="24" t="s">
        <v>272</v>
      </c>
      <c r="F16" s="24" t="s">
        <v>273</v>
      </c>
      <c r="G16" s="24" t="s">
        <v>273</v>
      </c>
      <c r="H16" s="7"/>
    </row>
    <row r="17" customFormat="false" ht="12.8" hidden="false" customHeight="false" outlineLevel="0" collapsed="false">
      <c r="A17" s="7"/>
      <c r="B17" s="113" t="str">
        <f aca="false">_LOOKUPS_CVSS!D12</f>
        <v>High (H)</v>
      </c>
      <c r="C17" s="113" t="str">
        <f aca="false">IF($B$1="N",$B17,IF($D$14&gt;=$D$15,$D17,IF($D$14&gt;=$E$15,$E17,IF($D$14&gt;=$F$15,$F17,$G17))))</f>
        <v>High (H)</v>
      </c>
      <c r="D17" s="24" t="s">
        <v>272</v>
      </c>
      <c r="E17" s="24" t="s">
        <v>272</v>
      </c>
      <c r="F17" s="24" t="s">
        <v>272</v>
      </c>
      <c r="G17" s="24" t="s">
        <v>272</v>
      </c>
      <c r="H17" s="7"/>
    </row>
    <row r="18" customFormat="false" ht="12.8" hidden="false" customHeight="false" outlineLevel="0" collapsed="false">
      <c r="A18" s="7"/>
      <c r="B18" s="108"/>
      <c r="C18" s="7"/>
      <c r="D18" s="7"/>
      <c r="E18" s="7"/>
      <c r="F18" s="7"/>
      <c r="G18" s="7"/>
      <c r="H18" s="7"/>
    </row>
    <row r="19" customFormat="false" ht="16.4" hidden="false" customHeight="true" outlineLevel="0" collapsed="false">
      <c r="A19" s="7"/>
      <c r="B19" s="115" t="s">
        <v>62</v>
      </c>
      <c r="C19" s="115"/>
    </row>
    <row r="20" customFormat="false" ht="13.8" hidden="false" customHeight="false" outlineLevel="0" collapsed="false">
      <c r="A20" s="7"/>
      <c r="B20" s="111" t="s">
        <v>165</v>
      </c>
      <c r="C20" s="96" t="s">
        <v>167</v>
      </c>
    </row>
    <row r="21" customFormat="false" ht="12.8" hidden="false" customHeight="false" outlineLevel="0" collapsed="false">
      <c r="A21" s="7"/>
      <c r="B21" s="98" t="s">
        <v>170</v>
      </c>
      <c r="C21" s="98" t="e">
        <f aca="false">#REF!&amp;" ("&amp;B21&amp;")"</f>
        <v>#REF!</v>
      </c>
    </row>
    <row r="22" customFormat="false" ht="12.8" hidden="false" customHeight="false" outlineLevel="0" collapsed="false">
      <c r="A22" s="7"/>
      <c r="B22" s="100" t="s">
        <v>191</v>
      </c>
      <c r="C22" s="98" t="e">
        <f aca="false">#REF!&amp;" ("&amp;B22&amp;")"</f>
        <v>#REF!</v>
      </c>
    </row>
    <row r="23" customFormat="false" ht="12.8" hidden="false" customHeight="false" outlineLevel="0" collapsed="false">
      <c r="A23" s="7"/>
      <c r="B23" s="108"/>
      <c r="C23" s="7"/>
    </row>
    <row r="24" customFormat="false" ht="16.4" hidden="false" customHeight="true" outlineLevel="0" collapsed="false">
      <c r="A24" s="7"/>
      <c r="B24" s="115" t="s">
        <v>199</v>
      </c>
      <c r="C24" s="115"/>
    </row>
    <row r="25" customFormat="false" ht="13.8" hidden="false" customHeight="false" outlineLevel="0" collapsed="false">
      <c r="A25" s="7"/>
      <c r="B25" s="111" t="s">
        <v>165</v>
      </c>
      <c r="C25" s="96" t="s">
        <v>167</v>
      </c>
    </row>
    <row r="26" customFormat="false" ht="12.8" hidden="false" customHeight="false" outlineLevel="0" collapsed="false">
      <c r="A26" s="7"/>
      <c r="B26" s="98" t="s">
        <v>170</v>
      </c>
      <c r="C26" s="98" t="e">
        <f aca="false">#REF!&amp;" ("&amp;B26&amp;")"</f>
        <v>#REF!</v>
      </c>
    </row>
    <row r="27" customFormat="false" ht="12.8" hidden="false" customHeight="false" outlineLevel="0" collapsed="false">
      <c r="A27" s="7"/>
      <c r="B27" s="100" t="s">
        <v>190</v>
      </c>
      <c r="C27" s="98" t="e">
        <f aca="false">#REF!&amp;" ("&amp;B27&amp;")"</f>
        <v>#REF!</v>
      </c>
    </row>
    <row r="28" customFormat="false" ht="12.8" hidden="false" customHeight="false" outlineLevel="0" collapsed="false">
      <c r="A28" s="7"/>
      <c r="B28" s="98" t="s">
        <v>194</v>
      </c>
      <c r="C28" s="98" t="e">
        <f aca="false">#REF!&amp;" ("&amp;B28&amp;")"</f>
        <v>#REF!</v>
      </c>
    </row>
    <row r="29" customFormat="false" ht="12.8" hidden="false" customHeight="false" outlineLevel="0" collapsed="false">
      <c r="A29" s="7"/>
      <c r="B29" s="108"/>
      <c r="C29" s="7"/>
    </row>
    <row r="30" customFormat="false" ht="16.4" hidden="false" customHeight="true" outlineLevel="0" collapsed="false">
      <c r="A30" s="7"/>
      <c r="B30" s="115" t="s">
        <v>203</v>
      </c>
      <c r="C30" s="115"/>
    </row>
    <row r="31" customFormat="false" ht="13.8" hidden="false" customHeight="false" outlineLevel="0" collapsed="false">
      <c r="A31" s="7"/>
      <c r="B31" s="111" t="s">
        <v>165</v>
      </c>
      <c r="C31" s="96" t="s">
        <v>167</v>
      </c>
    </row>
    <row r="32" customFormat="false" ht="12.8" hidden="false" customHeight="false" outlineLevel="0" collapsed="false">
      <c r="A32" s="7"/>
      <c r="B32" s="98" t="s">
        <v>170</v>
      </c>
      <c r="C32" s="98" t="e">
        <f aca="false">#REF!&amp;" ("&amp;B32&amp;")"</f>
        <v>#REF!</v>
      </c>
    </row>
    <row r="33" customFormat="false" ht="12.8" hidden="false" customHeight="false" outlineLevel="0" collapsed="false">
      <c r="A33" s="7"/>
      <c r="B33" s="100" t="s">
        <v>191</v>
      </c>
      <c r="C33" s="98" t="e">
        <f aca="false">#REF!&amp;" ("&amp;B33&amp;")"</f>
        <v>#REF!</v>
      </c>
    </row>
    <row r="34" customFormat="false" ht="12.8" hidden="false" customHeight="false" outlineLevel="0" collapsed="false">
      <c r="A34" s="7"/>
      <c r="B34" s="98" t="s">
        <v>188</v>
      </c>
      <c r="C34" s="98" t="e">
        <f aca="false">#REF!&amp;" ("&amp;B34&amp;")"</f>
        <v>#REF!</v>
      </c>
    </row>
    <row r="35" customFormat="false" ht="12.8" hidden="false" customHeight="false" outlineLevel="0" collapsed="false">
      <c r="A35" s="7"/>
      <c r="B35" s="108"/>
      <c r="C35" s="7"/>
    </row>
    <row r="36" customFormat="false" ht="16.4" hidden="false" customHeight="true" outlineLevel="0" collapsed="false">
      <c r="A36" s="7"/>
      <c r="B36" s="115" t="s">
        <v>207</v>
      </c>
      <c r="C36" s="115"/>
    </row>
    <row r="37" customFormat="false" ht="13.8" hidden="false" customHeight="false" outlineLevel="0" collapsed="false">
      <c r="A37" s="7"/>
      <c r="B37" s="111" t="s">
        <v>165</v>
      </c>
      <c r="C37" s="96" t="s">
        <v>167</v>
      </c>
    </row>
    <row r="38" customFormat="false" ht="12.8" hidden="false" customHeight="false" outlineLevel="0" collapsed="false">
      <c r="A38" s="7"/>
      <c r="B38" s="98" t="s">
        <v>194</v>
      </c>
      <c r="C38" s="98" t="e">
        <f aca="false">#REF!&amp;" ("&amp;B38&amp;")"</f>
        <v>#REF!</v>
      </c>
    </row>
    <row r="39" customFormat="false" ht="12.8" hidden="false" customHeight="false" outlineLevel="0" collapsed="false">
      <c r="A39" s="7"/>
      <c r="B39" s="100" t="s">
        <v>190</v>
      </c>
      <c r="C39" s="98" t="e">
        <f aca="false">#REF!&amp;" ("&amp;B39&amp;")"</f>
        <v>#REF!</v>
      </c>
    </row>
    <row r="40" customFormat="false" ht="12.8" hidden="false" customHeight="false" outlineLevel="0" collapsed="false">
      <c r="A40" s="7"/>
      <c r="B40" s="98" t="s">
        <v>170</v>
      </c>
      <c r="C40" s="98" t="e">
        <f aca="false">#REF!&amp;" ("&amp;B40&amp;")"</f>
        <v>#REF!</v>
      </c>
    </row>
    <row r="41" customFormat="false" ht="12.8" hidden="false" customHeight="false" outlineLevel="0" collapsed="false">
      <c r="A41" s="7"/>
      <c r="B41" s="108"/>
      <c r="C41" s="7"/>
    </row>
    <row r="42" customFormat="false" ht="16.4" hidden="false" customHeight="true" outlineLevel="0" collapsed="false">
      <c r="A42" s="7"/>
      <c r="B42" s="115" t="s">
        <v>210</v>
      </c>
      <c r="C42" s="115"/>
    </row>
    <row r="43" customFormat="false" ht="13.8" hidden="false" customHeight="false" outlineLevel="0" collapsed="false">
      <c r="A43" s="7"/>
      <c r="B43" s="111" t="s">
        <v>165</v>
      </c>
      <c r="C43" s="96" t="s">
        <v>167</v>
      </c>
    </row>
    <row r="44" customFormat="false" ht="12.8" hidden="false" customHeight="false" outlineLevel="0" collapsed="false">
      <c r="A44" s="7"/>
      <c r="B44" s="98" t="s">
        <v>194</v>
      </c>
      <c r="C44" s="98" t="e">
        <f aca="false">#REF!&amp;" ("&amp;B44&amp;")"</f>
        <v>#REF!</v>
      </c>
    </row>
    <row r="45" customFormat="false" ht="12.8" hidden="false" customHeight="false" outlineLevel="0" collapsed="false">
      <c r="A45" s="7"/>
      <c r="B45" s="100" t="s">
        <v>190</v>
      </c>
      <c r="C45" s="98" t="e">
        <f aca="false">#REF!&amp;" ("&amp;B45&amp;")"</f>
        <v>#REF!</v>
      </c>
    </row>
    <row r="46" customFormat="false" ht="12.8" hidden="false" customHeight="false" outlineLevel="0" collapsed="false">
      <c r="A46" s="7"/>
      <c r="B46" s="98" t="s">
        <v>170</v>
      </c>
      <c r="C46" s="98" t="e">
        <f aca="false">#REF!&amp;" ("&amp;B46&amp;")"</f>
        <v>#REF!</v>
      </c>
    </row>
    <row r="47" customFormat="false" ht="12.8" hidden="false" customHeight="false" outlineLevel="0" collapsed="false">
      <c r="A47" s="7"/>
      <c r="B47" s="108"/>
      <c r="C47" s="7"/>
    </row>
    <row r="48" customFormat="false" ht="16.4" hidden="false" customHeight="true" outlineLevel="0" collapsed="false">
      <c r="A48" s="7"/>
      <c r="B48" s="115" t="s">
        <v>219</v>
      </c>
      <c r="C48" s="115"/>
    </row>
    <row r="49" customFormat="false" ht="13.8" hidden="false" customHeight="false" outlineLevel="0" collapsed="false">
      <c r="A49" s="7"/>
      <c r="B49" s="111" t="s">
        <v>165</v>
      </c>
      <c r="C49" s="96" t="s">
        <v>167</v>
      </c>
    </row>
    <row r="50" customFormat="false" ht="12.8" hidden="false" customHeight="false" outlineLevel="0" collapsed="false">
      <c r="A50" s="7"/>
      <c r="B50" s="98" t="s">
        <v>194</v>
      </c>
      <c r="C50" s="98" t="e">
        <f aca="false">#REF!&amp;" ("&amp;B50&amp;")"</f>
        <v>#REF!</v>
      </c>
    </row>
    <row r="51" customFormat="false" ht="12.8" hidden="false" customHeight="false" outlineLevel="0" collapsed="false">
      <c r="A51" s="7"/>
      <c r="B51" s="100" t="s">
        <v>190</v>
      </c>
      <c r="C51" s="98" t="e">
        <f aca="false">#REF!&amp;" ("&amp;B51&amp;")"</f>
        <v>#REF!</v>
      </c>
    </row>
    <row r="52" customFormat="false" ht="12.8" hidden="false" customHeight="false" outlineLevel="0" collapsed="false">
      <c r="A52" s="7"/>
      <c r="B52" s="98" t="s">
        <v>170</v>
      </c>
      <c r="C52" s="98" t="e">
        <f aca="false">#REF!&amp;" ("&amp;B52&amp;")"</f>
        <v>#REF!</v>
      </c>
    </row>
    <row r="53" customFormat="false" ht="12.8" hidden="false" customHeight="false" outlineLevel="0" collapsed="false">
      <c r="A53" s="7"/>
      <c r="B53" s="108"/>
      <c r="C53" s="7"/>
    </row>
    <row r="54" customFormat="false" ht="16.4" hidden="false" customHeight="true" outlineLevel="0" collapsed="false">
      <c r="A54" s="7"/>
      <c r="B54" s="115" t="s">
        <v>220</v>
      </c>
      <c r="C54" s="115"/>
    </row>
    <row r="55" customFormat="false" ht="13.8" hidden="false" customHeight="false" outlineLevel="0" collapsed="false">
      <c r="A55" s="7"/>
      <c r="B55" s="111" t="s">
        <v>165</v>
      </c>
      <c r="C55" s="96" t="s">
        <v>167</v>
      </c>
    </row>
    <row r="56" customFormat="false" ht="12.8" hidden="false" customHeight="false" outlineLevel="0" collapsed="false">
      <c r="A56" s="7"/>
      <c r="B56" s="98" t="s">
        <v>194</v>
      </c>
      <c r="C56" s="98" t="e">
        <f aca="false">#REF!&amp;" ("&amp;B56&amp;")"</f>
        <v>#REF!</v>
      </c>
    </row>
    <row r="57" customFormat="false" ht="12.8" hidden="false" customHeight="false" outlineLevel="0" collapsed="false">
      <c r="A57" s="7"/>
      <c r="B57" s="100" t="s">
        <v>190</v>
      </c>
      <c r="C57" s="98" t="e">
        <f aca="false">#REF!&amp;" ("&amp;B57&amp;")"</f>
        <v>#REF!</v>
      </c>
    </row>
    <row r="58" customFormat="false" ht="12.8" hidden="false" customHeight="false" outlineLevel="0" collapsed="false">
      <c r="A58" s="7"/>
      <c r="B58" s="98" t="s">
        <v>170</v>
      </c>
      <c r="C58" s="98" t="e">
        <f aca="false">#REF!&amp;" ("&amp;B58&amp;")"</f>
        <v>#REF!</v>
      </c>
    </row>
    <row r="59" customFormat="false" ht="12.8" hidden="false" customHeight="false" outlineLevel="0" collapsed="false">
      <c r="A59" s="7"/>
      <c r="B59" s="108"/>
      <c r="C59" s="7"/>
    </row>
    <row r="60" customFormat="false" ht="16.4" hidden="false" customHeight="true" outlineLevel="0" collapsed="false">
      <c r="A60" s="7"/>
      <c r="B60" s="115" t="s">
        <v>221</v>
      </c>
      <c r="C60" s="115"/>
    </row>
    <row r="61" customFormat="false" ht="13.8" hidden="false" customHeight="false" outlineLevel="0" collapsed="false">
      <c r="A61" s="7"/>
      <c r="B61" s="111" t="s">
        <v>165</v>
      </c>
      <c r="C61" s="96" t="s">
        <v>167</v>
      </c>
    </row>
    <row r="62" customFormat="false" ht="12.8" hidden="false" customHeight="false" outlineLevel="0" collapsed="false">
      <c r="A62" s="7"/>
      <c r="B62" s="98" t="s">
        <v>194</v>
      </c>
      <c r="C62" s="98" t="e">
        <f aca="false">#REF!&amp;" ("&amp;B62&amp;")"</f>
        <v>#REF!</v>
      </c>
    </row>
    <row r="63" customFormat="false" ht="12.8" hidden="false" customHeight="false" outlineLevel="0" collapsed="false">
      <c r="A63" s="7"/>
      <c r="B63" s="100" t="s">
        <v>190</v>
      </c>
      <c r="C63" s="98" t="e">
        <f aca="false">#REF!&amp;" ("&amp;B63&amp;")"</f>
        <v>#REF!</v>
      </c>
    </row>
    <row r="64" customFormat="false" ht="12.8" hidden="false" customHeight="false" outlineLevel="0" collapsed="false">
      <c r="A64" s="7"/>
      <c r="B64" s="98" t="s">
        <v>170</v>
      </c>
      <c r="C64" s="98" t="e">
        <f aca="false">#REF!&amp;" ("&amp;B64&amp;")"</f>
        <v>#REF!</v>
      </c>
    </row>
    <row r="65" customFormat="false" ht="12.8" hidden="false" customHeight="false" outlineLevel="0" collapsed="false">
      <c r="A65" s="7"/>
      <c r="B65" s="108"/>
      <c r="C65" s="7"/>
    </row>
    <row r="66" customFormat="false" ht="16.4" hidden="false" customHeight="true" outlineLevel="0" collapsed="false">
      <c r="A66" s="7"/>
      <c r="B66" s="115" t="s">
        <v>222</v>
      </c>
      <c r="C66" s="115"/>
    </row>
    <row r="67" customFormat="false" ht="13.8" hidden="false" customHeight="false" outlineLevel="0" collapsed="false">
      <c r="A67" s="7"/>
      <c r="B67" s="111" t="s">
        <v>165</v>
      </c>
      <c r="C67" s="96" t="s">
        <v>167</v>
      </c>
    </row>
    <row r="68" customFormat="false" ht="12.8" hidden="false" customHeight="false" outlineLevel="0" collapsed="false">
      <c r="A68" s="7"/>
      <c r="B68" s="98" t="s">
        <v>194</v>
      </c>
      <c r="C68" s="98" t="e">
        <f aca="false">#REF!&amp;" ("&amp;B68&amp;")"</f>
        <v>#REF!</v>
      </c>
    </row>
    <row r="69" customFormat="false" ht="12.8" hidden="false" customHeight="false" outlineLevel="0" collapsed="false">
      <c r="A69" s="7"/>
      <c r="B69" s="100" t="s">
        <v>190</v>
      </c>
      <c r="C69" s="98" t="e">
        <f aca="false">#REF!&amp;" ("&amp;B69&amp;")"</f>
        <v>#REF!</v>
      </c>
    </row>
    <row r="70" customFormat="false" ht="12.8" hidden="false" customHeight="false" outlineLevel="0" collapsed="false">
      <c r="A70" s="7"/>
      <c r="B70" s="98" t="s">
        <v>170</v>
      </c>
      <c r="C70" s="98" t="e">
        <f aca="false">#REF!&amp;" ("&amp;B70&amp;")"</f>
        <v>#REF!</v>
      </c>
    </row>
    <row r="71" customFormat="false" ht="12.8" hidden="false" customHeight="false" outlineLevel="0" collapsed="false">
      <c r="A71" s="7"/>
      <c r="B71" s="108"/>
      <c r="C71" s="7"/>
    </row>
    <row r="72" customFormat="false" ht="16.4" hidden="false" customHeight="true" outlineLevel="0" collapsed="false">
      <c r="A72" s="7"/>
      <c r="B72" s="115" t="s">
        <v>73</v>
      </c>
      <c r="C72" s="115"/>
    </row>
    <row r="73" customFormat="false" ht="13.8" hidden="false" customHeight="false" outlineLevel="0" collapsed="false">
      <c r="A73" s="7"/>
      <c r="B73" s="111" t="s">
        <v>165</v>
      </c>
      <c r="C73" s="96" t="s">
        <v>167</v>
      </c>
    </row>
    <row r="74" customFormat="false" ht="12.8" hidden="false" customHeight="false" outlineLevel="0" collapsed="false">
      <c r="A74" s="7"/>
      <c r="B74" s="98" t="s">
        <v>186</v>
      </c>
      <c r="C74" s="98" t="e">
        <f aca="false">#REF!&amp;" ("&amp;B74&amp;")"</f>
        <v>#REF!</v>
      </c>
    </row>
    <row r="75" customFormat="false" ht="12.8" hidden="false" customHeight="false" outlineLevel="0" collapsed="false">
      <c r="A75" s="7"/>
      <c r="B75" s="100" t="s">
        <v>188</v>
      </c>
      <c r="C75" s="98" t="e">
        <f aca="false">#REF!&amp;" ("&amp;B75&amp;")"</f>
        <v>#REF!</v>
      </c>
    </row>
    <row r="76" customFormat="false" ht="12.8" hidden="false" customHeight="false" outlineLevel="0" collapsed="false">
      <c r="A76" s="7"/>
      <c r="B76" s="98" t="s">
        <v>191</v>
      </c>
      <c r="C76" s="98" t="e">
        <f aca="false">#REF!&amp;" ("&amp;B76&amp;")"</f>
        <v>#REF!</v>
      </c>
    </row>
    <row r="77" customFormat="false" ht="12.8" hidden="false" customHeight="false" outlineLevel="0" collapsed="false">
      <c r="A77" s="7"/>
      <c r="B77" s="100" t="s">
        <v>197</v>
      </c>
      <c r="C77" s="98" t="e">
        <f aca="false">#REF!&amp;" ("&amp;B77&amp;")"</f>
        <v>#REF!</v>
      </c>
    </row>
    <row r="78" customFormat="false" ht="12.8" hidden="false" customHeight="false" outlineLevel="0" collapsed="false">
      <c r="A78" s="7"/>
    </row>
  </sheetData>
  <mergeCells count="12">
    <mergeCell ref="B3:D3"/>
    <mergeCell ref="B12:C12"/>
    <mergeCell ref="B19:C19"/>
    <mergeCell ref="B24:C24"/>
    <mergeCell ref="B30:C30"/>
    <mergeCell ref="B36:C36"/>
    <mergeCell ref="B42:C42"/>
    <mergeCell ref="B48:C48"/>
    <mergeCell ref="B54:C54"/>
    <mergeCell ref="B60:C60"/>
    <mergeCell ref="B66:C66"/>
    <mergeCell ref="B72:C72"/>
  </mergeCells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1862</TotalTime>
  <Application>LibreOffice/24.2.7.2$Linux_X86_64 LibreOffice_project/420$Build-2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2026-03-01T19:09:30Z</dcterms:created>
  <dc:creator/>
  <dc:description/>
  <dc:language>en-US</dc:language>
  <cp:lastModifiedBy/>
  <cp:lastPrinted>2026-06-07T12:12:35Z</cp:lastPrinted>
  <dcterms:modified xsi:type="dcterms:W3CDTF">2026-07-20T21:40:45Z</dcterms:modified>
  <cp:revision>89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