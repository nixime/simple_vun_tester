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Cover Page" sheetId="1" state="visible" r:id="rId3"/>
    <sheet name="Characterization" sheetId="2" state="visible" r:id="rId4"/>
    <sheet name="Heat Map" sheetId="3" state="visible" r:id="rId5"/>
    <sheet name="Risk Assessment" sheetId="4" state="visible" r:id="rId6"/>
    <sheet name="_LOOKUPS" sheetId="5" state="visible" r:id="rId7"/>
    <sheet name="_CHARACTERIZATION_CALCS" sheetId="6" state="visible" r:id="rId8"/>
  </sheets>
  <definedNames>
    <definedName function="false" hidden="true" localSheetId="3" name="_xlnm._FilterDatabase" vbProcedure="false">'Risk Assessment'!$A$2:$AK$3</definedName>
    <definedName function="false" hidden="false" name="Character_MAC" vbProcedure="false">Characterization!$D$18:$D$20</definedName>
    <definedName function="false" hidden="false" name="Character_MAV" vbProcedure="false">Characterization!$D$7:$D$10</definedName>
    <definedName function="false" hidden="false" name="EnableCharacterization" vbProcedure="false">Characterization!$D$3</definedName>
    <definedName function="false" hidden="false" name="MacroMetricValueWeights" vbProcedure="false">#REF!</definedName>
    <definedName function="false" hidden="false" name="MacroVectorKeyMap" vbProcedure="false">#REF!</definedName>
    <definedName function="false" hidden="false" name="_lookup_A" vbProcedure="false">_LOOKUPS!$H$10:$H$12</definedName>
    <definedName function="false" hidden="false" name="_lookup_AC" vbProcedure="false">_LOOKUPS!$D$11:$D$12</definedName>
    <definedName function="false" hidden="false" name="_lookup_AT" vbProcedure="false">_LOOKUPS!$D$16:$D$17</definedName>
    <definedName function="false" hidden="false" name="_lookup_AV" vbProcedure="false">_LOOKUPS!$D$4:$D$7</definedName>
    <definedName function="false" hidden="false" name="_lookup_E" vbProcedure="false">_LOOKUPS!$D$69:$D$72</definedName>
    <definedName function="false" hidden="false" name="_lookup_MSA" vbProcedure="false">_LOOKUPS!$D$83:$D$86</definedName>
    <definedName function="false" hidden="false" name="_lookup_MSI" vbProcedure="false">_LOOKUPS!$D$76:$D$79</definedName>
    <definedName function="false" hidden="false" name="_lookup_PR" vbProcedure="false">_LOOKUPS!$D$21:$D$23</definedName>
    <definedName function="false" hidden="false" name="_lookup_R" vbProcedure="false">_LOOKUPS!$H$16:$H$19</definedName>
    <definedName function="false" hidden="false" name="_lookup_RE" vbProcedure="false">_LOOKUPS!$H$29:$H$32</definedName>
    <definedName function="false" hidden="false" name="_lookup_S" vbProcedure="false">_LOOKUPS!$H$4:$H$6</definedName>
    <definedName function="false" hidden="false" name="_lookup_SA" vbProcedure="false">_LOOKUPS!$D$63:$D$65</definedName>
    <definedName function="false" hidden="false" name="_lookup_SafetyHeatMap" vbProcedure="false">'Heat Map'!$B$3:$H$8</definedName>
    <definedName function="false" hidden="false" name="_lookup_SafetyRating" vbProcedure="false">'Heat Map'!$D$3:$H$3</definedName>
    <definedName function="false" hidden="false" name="_lookup_SC" vbProcedure="false">_LOOKUPS!$D$51:$D$53</definedName>
    <definedName function="false" hidden="false" name="_lookup_SI" vbProcedure="false">_LOOKUPS!$D$57:$D$59</definedName>
    <definedName function="false" hidden="false" name="_lookup_U" vbProcedure="false">_LOOKUPS!$H$36:$H$40</definedName>
    <definedName function="false" hidden="false" name="_lookup_UI" vbProcedure="false">_LOOKUPS!$D$27:$D$29</definedName>
    <definedName function="false" hidden="false" name="_lookup_V" vbProcedure="false">_LOOKUPS!$H$23:$H$25</definedName>
    <definedName function="false" hidden="false" name="_lookup_VA" vbProcedure="false">_LOOKUPS!$D$45:$D$47</definedName>
    <definedName function="false" hidden="false" name="_lookup_VC" vbProcedure="false">_LOOKUPS!$D$33:$D$35</definedName>
    <definedName function="false" hidden="false" name="_lookup_VI" vbProcedure="false">_LOOKUPS!$D$39:$D$41</definedName>
    <definedName function="false" hidden="false" name="_lookup_Yes" vbProcedure="false">_LOOKUPS!$L$4</definedName>
    <definedName function="false" hidden="false" name="_lookup_YesNo" vbProcedure="false">_LOOKUPS!$L$4:$L$5</definedName>
    <definedName function="false" hidden="false" name="_map_AC_MAC" vbProcedure="false">_CHARACTERIZATION_CALCS!$B$16:$C$17</definedName>
    <definedName function="false" hidden="false" name="_map_AV_MAV" vbProcedure="false">_CHARACTERIZATION_CALCS!$B$7:$C$10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<sst xmlns="http://schemas.openxmlformats.org/spreadsheetml/2006/main" count="439" uniqueCount="149">
  <si>
    <t xml:space="preserve">Title</t>
  </si>
  <si>
    <t xml:space="preserve">Title Goes Here</t>
  </si>
  <si>
    <t xml:space="preserve">Change Log</t>
  </si>
  <si>
    <t xml:space="preserve">Date</t>
  </si>
  <si>
    <t xml:space="preserve">Person</t>
  </si>
  <si>
    <t xml:space="preserve">Changes</t>
  </si>
  <si>
    <t xml:space="preserve">System Characterization Profile</t>
  </si>
  <si>
    <t xml:space="preserve">Enable Automatic Risk Adjustment</t>
  </si>
  <si>
    <t xml:space="preserve">No (N)</t>
  </si>
  <si>
    <t xml:space="preserve">Modified Attack Vector (MAV)</t>
  </si>
  <si>
    <t xml:space="preserve">Question</t>
  </si>
  <si>
    <t xml:space="preserve">Yes/No</t>
  </si>
  <si>
    <t xml:space="preserve">Q1</t>
  </si>
  <si>
    <t xml:space="preserve">Network Isolation: Is this asset located on a segmented network (e.g., VLAN, VPC) that explicitly denies all traffic from the wider enterprise network except for necessary, authenticated management traffic?</t>
  </si>
  <si>
    <t xml:space="preserve">Q2</t>
  </si>
  <si>
    <t xml:space="preserve">Edge Defense: Is the asset behind a hardened perimeter (WAF, IPS, or strict ACLs) that performs deep packet inspection and drops unauthorized protocols before they reach the service?</t>
  </si>
  <si>
    <t xml:space="preserve">Yes (Y)</t>
  </si>
  <si>
    <t xml:space="preserve">Q3</t>
  </si>
  <si>
    <t xml:space="preserve">Physical/Logical Air-gap: Is the service strictly internal-only, with no routable path from the public internet or external guest networks?</t>
  </si>
  <si>
    <t xml:space="preserve">Control Description</t>
  </si>
  <si>
    <t xml:space="preserve">&lt;describe the mechanisms to defend the choices above&gt;</t>
  </si>
  <si>
    <t xml:space="preserve">Control Identifiers</t>
  </si>
  <si>
    <t xml:space="preserve">&lt;List the unique identifiers (if applicable) to defend the choices above&gt;</t>
  </si>
  <si>
    <t xml:space="preserve">Modified Attack Complexity (MAC)</t>
  </si>
  <si>
    <t xml:space="preserve">Hardened Configuration: Does the target service have specific non-default security hardening (e.g., memory protection, strictly defined input schemas, or specific flag configurations) that would break the standard exploit path?</t>
  </si>
  <si>
    <t xml:space="preserve">Environmental Dependencies: Does the service require a non-standard or highly specific environmental state (e.g., specific hardware timing, non-default compiler settings) that is not present in our environment?</t>
  </si>
  <si>
    <t xml:space="preserve">Cyber to Safety Heat-Map</t>
  </si>
  <si>
    <t xml:space="preserve">Cyber Risk</t>
  </si>
  <si>
    <t xml:space="preserve">Min CVSS Score</t>
  </si>
  <si>
    <t xml:space="preserve">Negligible</t>
  </si>
  <si>
    <t xml:space="preserve">Minor</t>
  </si>
  <si>
    <t xml:space="preserve">Moderate</t>
  </si>
  <si>
    <t xml:space="preserve">Serious</t>
  </si>
  <si>
    <t xml:space="preserve">Critical</t>
  </si>
  <si>
    <t xml:space="preserve">Uncontrolled</t>
  </si>
  <si>
    <t xml:space="preserve">High</t>
  </si>
  <si>
    <t xml:space="preserve">Controlled</t>
  </si>
  <si>
    <t xml:space="preserve">Medium</t>
  </si>
  <si>
    <t xml:space="preserve">Low</t>
  </si>
  <si>
    <t xml:space="preserve">None</t>
  </si>
  <si>
    <t xml:space="preserve">Basic Information</t>
  </si>
  <si>
    <t xml:space="preserve">BASE METRIC GROUP</t>
  </si>
  <si>
    <t xml:space="preserve">THREAT</t>
  </si>
  <si>
    <t xml:space="preserve">RESIDUAL</t>
  </si>
  <si>
    <t xml:space="preserve">Safety (S)</t>
  </si>
  <si>
    <t xml:space="preserve">Controlled Status</t>
  </si>
  <si>
    <t xml:space="preserve">Risk ID</t>
  </si>
  <si>
    <t xml:space="preserve">Risk Description</t>
  </si>
  <si>
    <t xml:space="preserve">Asset / Component</t>
  </si>
  <si>
    <t xml:space="preserve">Source</t>
  </si>
  <si>
    <t xml:space="preserve">Source Identifier</t>
  </si>
  <si>
    <t xml:space="preserve">Vector String</t>
  </si>
  <si>
    <t xml:space="preserve">CVSS-B</t>
  </si>
  <si>
    <t xml:space="preserve">Attack Vector (AV)</t>
  </si>
  <si>
    <t xml:space="preserve">Attack Complexity (AC)</t>
  </si>
  <si>
    <t xml:space="preserve">Attack Requirements (AT)</t>
  </si>
  <si>
    <t xml:space="preserve">Privileges Required
(PR)</t>
  </si>
  <si>
    <t xml:space="preserve">User Interaction
(UI)</t>
  </si>
  <si>
    <t xml:space="preserve">Vulnerable Conf.
(VC)</t>
  </si>
  <si>
    <t xml:space="preserve">Vulnerable Integ.
(VI)</t>
  </si>
  <si>
    <t xml:space="preserve">Vulnerable Avail.
(VA)</t>
  </si>
  <si>
    <t xml:space="preserve">Subsequent Conf. 
(SC)</t>
  </si>
  <si>
    <t xml:space="preserve">Subsequent Integ.
(SI)</t>
  </si>
  <si>
    <t xml:space="preserve">Subsequent Avail. 
(SA)</t>
  </si>
  <si>
    <t xml:space="preserve">Is KEV</t>
  </si>
  <si>
    <t xml:space="preserve">Exploit Risk
(EPSS)</t>
  </si>
  <si>
    <t xml:space="preserve">Exploit Maturity (E)</t>
  </si>
  <si>
    <t xml:space="preserve">Attack
Vector
(MAV)</t>
  </si>
  <si>
    <t xml:space="preserve">Attack Complexity (MAC)</t>
  </si>
  <si>
    <t xml:space="preserve">Attack Requirements (MAT)</t>
  </si>
  <si>
    <t xml:space="preserve">Privileges Required
(MPR)</t>
  </si>
  <si>
    <t xml:space="preserve">User Interaction
(MUI)</t>
  </si>
  <si>
    <t xml:space="preserve">Vulnerable Conf.
(MVC)</t>
  </si>
  <si>
    <t xml:space="preserve">Vulnerable Integ.
(MVI)</t>
  </si>
  <si>
    <t xml:space="preserve">Vulnerable Avail.
(MVA)</t>
  </si>
  <si>
    <t xml:space="preserve">Subsequent Conf. 
(MSC)</t>
  </si>
  <si>
    <t xml:space="preserve">Subsequent Integ.
(MSI)</t>
  </si>
  <si>
    <t xml:space="preserve">Subsequent Avail. 
(MSA)</t>
  </si>
  <si>
    <t xml:space="preserve">CVSS-BE</t>
  </si>
  <si>
    <t xml:space="preserve">Safety
(S)</t>
  </si>
  <si>
    <t xml:space="preserve">Safety Risk Identifiers</t>
  </si>
  <si>
    <t xml:space="preserve">AV:L/AC:L/AT:P/PR:L/UI:P/VC:L/VI:L/VA:L/SC:L/SI:L/SA:L</t>
  </si>
  <si>
    <t xml:space="preserve">Base</t>
  </si>
  <si>
    <t xml:space="preserve">Supplemental</t>
  </si>
  <si>
    <t xml:space="preserve">Code</t>
  </si>
  <si>
    <t xml:space="preserve">Description</t>
  </si>
  <si>
    <t xml:space="preserve">Drop-Down</t>
  </si>
  <si>
    <t xml:space="preserve">N</t>
  </si>
  <si>
    <t xml:space="preserve">Network</t>
  </si>
  <si>
    <t xml:space="preserve">X</t>
  </si>
  <si>
    <t xml:space="preserve">Not Defined</t>
  </si>
  <si>
    <t xml:space="preserve">Y</t>
  </si>
  <si>
    <t xml:space="preserve">Yes</t>
  </si>
  <si>
    <t xml:space="preserve">A</t>
  </si>
  <si>
    <t xml:space="preserve">Adjacent</t>
  </si>
  <si>
    <t xml:space="preserve">No</t>
  </si>
  <si>
    <t xml:space="preserve">L</t>
  </si>
  <si>
    <t xml:space="preserve">Local</t>
  </si>
  <si>
    <t xml:space="preserve">P</t>
  </si>
  <si>
    <t xml:space="preserve">Present</t>
  </si>
  <si>
    <t xml:space="preserve">Physical</t>
  </si>
  <si>
    <t xml:space="preserve">Automatable (A)</t>
  </si>
  <si>
    <t xml:space="preserve">H</t>
  </si>
  <si>
    <t xml:space="preserve">Recovery (R)</t>
  </si>
  <si>
    <t xml:space="preserve">Automatic</t>
  </si>
  <si>
    <t xml:space="preserve">U</t>
  </si>
  <si>
    <t xml:space="preserve">User</t>
  </si>
  <si>
    <t xml:space="preserve">Privileges Required (PR)</t>
  </si>
  <si>
    <t xml:space="preserve">I</t>
  </si>
  <si>
    <t xml:space="preserve">Irrecoverable</t>
  </si>
  <si>
    <t xml:space="preserve">Value Density (V)</t>
  </si>
  <si>
    <t xml:space="preserve">Diffuse</t>
  </si>
  <si>
    <t xml:space="preserve">User Interaction (UI)</t>
  </si>
  <si>
    <t xml:space="preserve">Concentrated</t>
  </si>
  <si>
    <t xml:space="preserve">Response Effort (RE)</t>
  </si>
  <si>
    <t xml:space="preserve">Passive</t>
  </si>
  <si>
    <t xml:space="preserve">Active</t>
  </si>
  <si>
    <t xml:space="preserve">Vulnerable Conf. (VC)</t>
  </si>
  <si>
    <t xml:space="preserve">M</t>
  </si>
  <si>
    <t xml:space="preserve">Provider Urgency (U)</t>
  </si>
  <si>
    <t xml:space="preserve">Vulnerable Integ. (VI)</t>
  </si>
  <si>
    <t xml:space="preserve">Clear</t>
  </si>
  <si>
    <t xml:space="preserve">Low / None</t>
  </si>
  <si>
    <t xml:space="preserve">Green</t>
  </si>
  <si>
    <t xml:space="preserve">Moderate Urgency</t>
  </si>
  <si>
    <t xml:space="preserve">Amber</t>
  </si>
  <si>
    <t xml:space="preserve">High Urgency</t>
  </si>
  <si>
    <t xml:space="preserve">Red</t>
  </si>
  <si>
    <t xml:space="preserve">Critical  / Immediate</t>
  </si>
  <si>
    <t xml:space="preserve">Vulnerable Avail. (VA)</t>
  </si>
  <si>
    <t xml:space="preserve">Subsequent Conf. (SC)</t>
  </si>
  <si>
    <t xml:space="preserve">Subsequent Integ. (SI)</t>
  </si>
  <si>
    <t xml:space="preserve">Subsequent Avail. (SA)</t>
  </si>
  <si>
    <t xml:space="preserve">Attacked</t>
  </si>
  <si>
    <t xml:space="preserve">Proof of Concept</t>
  </si>
  <si>
    <t xml:space="preserve">Unreported</t>
  </si>
  <si>
    <t xml:space="preserve">Modified Subsequent Integ. (SI)</t>
  </si>
  <si>
    <t xml:space="preserve">S</t>
  </si>
  <si>
    <t xml:space="preserve">Safety</t>
  </si>
  <si>
    <t xml:space="preserve">Modified Subsequent Avail. (SA)</t>
  </si>
  <si>
    <t xml:space="preserve">Ratio</t>
  </si>
  <si>
    <t xml:space="preserve">AV</t>
  </si>
  <si>
    <t xml:space="preserve">MAV</t>
  </si>
  <si>
    <t xml:space="preserve">Physical (P)</t>
  </si>
  <si>
    <t xml:space="preserve">Local (L)</t>
  </si>
  <si>
    <t xml:space="preserve">Adjacent (A)</t>
  </si>
  <si>
    <t xml:space="preserve">Network (N)</t>
  </si>
  <si>
    <t xml:space="preserve">High (H)</t>
  </si>
  <si>
    <t xml:space="preserve">Low (L)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</si>
</sst>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"/>
    <numFmt numFmtId="166" formatCode="0.00%"/>
    <numFmt numFmtId="167" formatCode="0.0%"/>
    <numFmt numFmtId="168" formatCode="0%"/>
    <numFmt numFmtId="169" formatCode="General"/>
  </numFmts>
  <fonts count="1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2"/>
      <name val="Arial"/>
      <family val="2"/>
      <charset val="1"/>
    </font>
    <font>
      <b val="true"/>
      <i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4"/>
      <name val="Arial"/>
      <family val="2"/>
      <charset val="1"/>
    </font>
    <font>
      <b val="true"/>
      <sz val="14"/>
      <color rgb="FF000000"/>
      <name val="Arial"/>
      <family val="2"/>
      <charset val="1"/>
    </font>
    <font>
      <b val="true"/>
      <sz val="14"/>
      <color rgb="FFFFFFFF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1"/>
      <color rgb="FFFFFFFF"/>
      <name val="Segoe UI"/>
      <family val="0"/>
      <charset val="1"/>
    </font>
    <font>
      <b val="true"/>
      <sz val="11"/>
      <color rgb="FF1C3144"/>
      <name val="Segoe UI"/>
      <family val="0"/>
      <charset val="1"/>
    </font>
    <font>
      <sz val="10"/>
      <color rgb="FF000000"/>
      <name val="Segoe UI"/>
      <family val="0"/>
      <charset val="1"/>
    </font>
    <font>
      <sz val="11"/>
      <name val="Segoe UI"/>
      <family val="0"/>
      <charset val="1"/>
    </font>
  </fonts>
  <fills count="21">
    <fill>
      <patternFill patternType="none"/>
    </fill>
    <fill>
      <patternFill patternType="gray125"/>
    </fill>
    <fill>
      <patternFill patternType="solid">
        <fgColor rgb="FF999999"/>
        <bgColor rgb="FF808080"/>
      </patternFill>
    </fill>
    <fill>
      <patternFill patternType="solid">
        <fgColor rgb="FF729FCF"/>
        <bgColor rgb="FF999999"/>
      </patternFill>
    </fill>
    <fill>
      <patternFill patternType="solid">
        <fgColor rgb="FFB4C7DC"/>
        <bgColor rgb="FFADCBE3"/>
      </patternFill>
    </fill>
    <fill>
      <patternFill patternType="solid">
        <fgColor rgb="FFDDDDDD"/>
        <bgColor rgb="FFDEDCE6"/>
      </patternFill>
    </fill>
    <fill>
      <patternFill patternType="solid">
        <fgColor rgb="FFFFF5CE"/>
        <bgColor rgb="FFF5F7FA"/>
      </patternFill>
    </fill>
    <fill>
      <patternFill patternType="solid">
        <fgColor rgb="FF000000"/>
        <bgColor rgb="FF003300"/>
      </patternFill>
    </fill>
    <fill>
      <patternFill patternType="solid">
        <fgColor rgb="FFB2B2B2"/>
        <bgColor rgb="FFB4C7DC"/>
      </patternFill>
    </fill>
    <fill>
      <patternFill patternType="solid">
        <fgColor rgb="FFFFDBB6"/>
        <bgColor rgb="FFFFCCCC"/>
      </patternFill>
    </fill>
    <fill>
      <patternFill patternType="solid">
        <fgColor rgb="FFDEDCE6"/>
        <bgColor rgb="FFDDDDDD"/>
      </patternFill>
    </fill>
    <fill>
      <patternFill patternType="solid">
        <fgColor rgb="FFDDDD79"/>
        <bgColor rgb="FFFFDBB6"/>
      </patternFill>
    </fill>
    <fill>
      <patternFill patternType="solid">
        <fgColor rgb="FFECBFFF"/>
        <bgColor rgb="FFFFCCCC"/>
      </patternFill>
    </fill>
    <fill>
      <patternFill patternType="solid">
        <fgColor rgb="FFA8C7DA"/>
        <bgColor rgb="FFADCBE3"/>
      </patternFill>
    </fill>
    <fill>
      <patternFill patternType="solid">
        <fgColor rgb="FFA8DAA8"/>
        <bgColor rgb="FFA8C7DA"/>
      </patternFill>
    </fill>
    <fill>
      <patternFill patternType="solid">
        <fgColor rgb="FF333333"/>
        <bgColor rgb="FF1C3144"/>
      </patternFill>
    </fill>
    <fill>
      <patternFill patternType="solid">
        <fgColor rgb="FFCCCCCC"/>
        <bgColor rgb="FFD1D5DB"/>
      </patternFill>
    </fill>
    <fill>
      <patternFill patternType="solid">
        <fgColor rgb="FF4B86B4"/>
        <bgColor rgb="FF729FCF"/>
      </patternFill>
    </fill>
    <fill>
      <patternFill patternType="solid">
        <fgColor rgb="FFADCBE3"/>
        <bgColor rgb="FFA8C7DA"/>
      </patternFill>
    </fill>
    <fill>
      <patternFill patternType="solid">
        <fgColor rgb="FFF5F7FA"/>
        <bgColor rgb="FFFFFFFF"/>
      </patternFill>
    </fill>
    <fill>
      <patternFill patternType="solid">
        <fgColor rgb="FF666666"/>
        <bgColor rgb="FF808080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medium">
        <color rgb="FF2A4D69"/>
      </bottom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 diagonalUp="false" diagonalDown="false">
      <left/>
      <right style="thin">
        <color rgb="FFD1D5DB"/>
      </right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4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7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9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4" fillId="9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4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0" fillId="1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1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2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0" fillId="1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4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1" fillId="15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4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3" fillId="1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1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2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3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3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4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5" fontId="0" fillId="5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6" fontId="0" fillId="16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5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4" fillId="8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7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19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19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2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9" fontId="17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18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15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17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DDDDD"/>
          <bgColor rgb="FF000000"/>
        </patternFill>
      </fill>
    </dxf>
    <dxf>
      <fill>
        <patternFill patternType="solid">
          <fgColor rgb="FFDDDD79"/>
          <bgColor rgb="FF000000"/>
        </patternFill>
      </fill>
    </dxf>
    <dxf>
      <fill>
        <patternFill patternType="solid">
          <fgColor rgb="FFCCCCCC"/>
          <bgColor rgb="FF000000"/>
        </patternFill>
      </fill>
    </dxf>
    <dxf>
      <fill>
        <patternFill patternType="solid">
          <fgColor rgb="FFECBFFF"/>
          <bgColor rgb="FF000000"/>
        </patternFill>
      </fill>
    </dxf>
    <dxf>
      <fill>
        <patternFill patternType="solid">
          <fgColor rgb="FFA8C7DA"/>
          <bgColor rgb="FF000000"/>
        </patternFill>
      </fill>
    </dxf>
    <dxf>
      <fill>
        <patternFill patternType="solid">
          <fgColor rgb="FFA8DAA8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DDDDDD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CCCCC"/>
      <rgbColor rgb="FF808080"/>
      <rgbColor rgb="FF729FCF"/>
      <rgbColor rgb="FF993366"/>
      <rgbColor rgb="FFFFF5CE"/>
      <rgbColor rgb="FFF5F7FA"/>
      <rgbColor rgb="FF660066"/>
      <rgbColor rgb="FFB2B2B2"/>
      <rgbColor rgb="FF2A6099"/>
      <rgbColor rgb="FFD1D5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EDCE6"/>
      <rgbColor rgb="FFCCFFCC"/>
      <rgbColor rgb="FFDDDD79"/>
      <rgbColor rgb="FFADCBE3"/>
      <rgbColor rgb="FFFFCCCC"/>
      <rgbColor rgb="FFECBFFF"/>
      <rgbColor rgb="FFFFDBB6"/>
      <rgbColor rgb="FF3366FF"/>
      <rgbColor rgb="FFA8C7DA"/>
      <rgbColor rgb="FF81D41A"/>
      <rgbColor rgb="FFA8DAA8"/>
      <rgbColor rgb="FFB4C7DC"/>
      <rgbColor rgb="FFFF6600"/>
      <rgbColor rgb="FF666666"/>
      <rgbColor rgb="FF999999"/>
      <rgbColor rgb="FF1C3144"/>
      <rgbColor rgb="FF4B86B4"/>
      <rgbColor rgb="FF003300"/>
      <rgbColor rgb="FF333300"/>
      <rgbColor rgb="FF993300"/>
      <rgbColor rgb="FF993366"/>
      <rgbColor rgb="FF2A4D6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E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4" min="4" style="1" width="47.6"/>
  </cols>
  <sheetData>
    <row r="1" customFormat="false" ht="12.8" hidden="false" customHeight="false" outlineLevel="0" collapsed="false">
      <c r="A1" s="2"/>
      <c r="B1" s="2"/>
      <c r="C1" s="2"/>
      <c r="D1" s="2"/>
      <c r="E1" s="2"/>
    </row>
    <row r="2" customFormat="false" ht="17.4" hidden="false" customHeight="true" outlineLevel="0" collapsed="false">
      <c r="A2" s="2"/>
      <c r="B2" s="3" t="s">
        <v>0</v>
      </c>
      <c r="C2" s="3"/>
      <c r="D2" s="3"/>
      <c r="E2" s="2"/>
    </row>
    <row r="3" customFormat="false" ht="19.7" hidden="false" customHeight="false" outlineLevel="0" collapsed="false">
      <c r="A3" s="2"/>
      <c r="B3" s="4" t="s">
        <v>1</v>
      </c>
      <c r="C3" s="4"/>
      <c r="D3" s="4"/>
      <c r="E3" s="2"/>
    </row>
    <row r="4" customFormat="false" ht="12.8" hidden="false" customHeight="false" outlineLevel="0" collapsed="false">
      <c r="A4" s="2"/>
      <c r="B4" s="2"/>
      <c r="C4" s="2"/>
      <c r="D4" s="2"/>
      <c r="E4" s="2"/>
    </row>
    <row r="5" customFormat="false" ht="17.4" hidden="false" customHeight="true" outlineLevel="0" collapsed="false">
      <c r="A5" s="2"/>
      <c r="B5" s="3" t="s">
        <v>2</v>
      </c>
      <c r="C5" s="3"/>
      <c r="D5" s="3"/>
      <c r="E5" s="2"/>
    </row>
    <row r="6" customFormat="false" ht="12.8" hidden="false" customHeight="false" outlineLevel="0" collapsed="false">
      <c r="A6" s="2"/>
      <c r="B6" s="5" t="s">
        <v>3</v>
      </c>
      <c r="C6" s="5" t="s">
        <v>4</v>
      </c>
      <c r="D6" s="5" t="s">
        <v>5</v>
      </c>
      <c r="E6" s="2"/>
    </row>
    <row r="7" customFormat="false" ht="12.8" hidden="false" customHeight="false" outlineLevel="0" collapsed="false">
      <c r="A7" s="2"/>
      <c r="B7" s="6"/>
      <c r="C7" s="6"/>
      <c r="D7" s="6"/>
      <c r="E7" s="2"/>
    </row>
    <row r="8" customFormat="false" ht="12.8" hidden="false" customHeight="false" outlineLevel="0" collapsed="false">
      <c r="A8" s="2"/>
      <c r="B8" s="6"/>
      <c r="C8" s="6"/>
      <c r="D8" s="6"/>
      <c r="E8" s="2"/>
    </row>
    <row r="9" customFormat="false" ht="12.8" hidden="false" customHeight="false" outlineLevel="0" collapsed="false">
      <c r="A9" s="2"/>
      <c r="B9" s="6"/>
      <c r="C9" s="6"/>
      <c r="D9" s="6"/>
      <c r="E9" s="2"/>
    </row>
    <row r="10" customFormat="false" ht="12.8" hidden="false" customHeight="false" outlineLevel="0" collapsed="false">
      <c r="A10" s="2"/>
      <c r="B10" s="6"/>
      <c r="C10" s="6"/>
      <c r="D10" s="6"/>
      <c r="E10" s="2"/>
    </row>
    <row r="11" customFormat="false" ht="12.8" hidden="false" customHeight="false" outlineLevel="0" collapsed="false">
      <c r="A11" s="2"/>
      <c r="B11" s="2"/>
      <c r="C11" s="2"/>
      <c r="D11" s="2"/>
      <c r="E11" s="2"/>
    </row>
  </sheetData>
  <mergeCells count="3">
    <mergeCell ref="B2:D2"/>
    <mergeCell ref="B3:D3"/>
    <mergeCell ref="B5:D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E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ColWidth="11.53515625" defaultRowHeight="12.8" zeroHeight="false" outlineLevelRow="0" outlineLevelCol="0"/>
  <cols>
    <col collapsed="false" customWidth="false" hidden="false" outlineLevel="0" max="2" min="2" style="7" width="11.53"/>
    <col collapsed="false" customWidth="true" hidden="false" outlineLevel="0" max="3" min="3" style="1" width="79.99"/>
  </cols>
  <sheetData>
    <row r="1" customFormat="false" ht="12.8" hidden="false" customHeight="false" outlineLevel="0" collapsed="false">
      <c r="A1" s="2"/>
      <c r="B1" s="8"/>
      <c r="C1" s="2"/>
      <c r="D1" s="2"/>
      <c r="E1" s="2"/>
    </row>
    <row r="2" customFormat="false" ht="15" hidden="false" customHeight="false" outlineLevel="0" collapsed="false">
      <c r="A2" s="2"/>
      <c r="B2" s="9" t="s">
        <v>6</v>
      </c>
      <c r="C2" s="9"/>
      <c r="D2" s="9"/>
      <c r="E2" s="2"/>
    </row>
    <row r="3" customFormat="false" ht="20.85" hidden="false" customHeight="true" outlineLevel="0" collapsed="false">
      <c r="A3" s="2"/>
      <c r="B3" s="10"/>
      <c r="C3" s="11" t="s">
        <v>7</v>
      </c>
      <c r="D3" s="12" t="s">
        <v>8</v>
      </c>
      <c r="E3" s="2"/>
    </row>
    <row r="4" customFormat="false" ht="12.8" hidden="false" customHeight="false" outlineLevel="0" collapsed="false">
      <c r="A4" s="2"/>
      <c r="B4" s="8"/>
      <c r="C4" s="2"/>
      <c r="D4" s="2"/>
      <c r="E4" s="2"/>
    </row>
    <row r="5" customFormat="false" ht="15" hidden="false" customHeight="false" outlineLevel="0" collapsed="false">
      <c r="A5" s="2"/>
      <c r="B5" s="9" t="s">
        <v>9</v>
      </c>
      <c r="C5" s="9"/>
      <c r="D5" s="9"/>
      <c r="E5" s="2"/>
    </row>
    <row r="6" customFormat="false" ht="12.8" hidden="false" customHeight="false" outlineLevel="0" collapsed="false">
      <c r="A6" s="2"/>
      <c r="B6" s="13"/>
      <c r="C6" s="14" t="s">
        <v>10</v>
      </c>
      <c r="D6" s="15" t="s">
        <v>11</v>
      </c>
      <c r="E6" s="2"/>
    </row>
    <row r="7" customFormat="false" ht="35.05" hidden="false" customHeight="false" outlineLevel="0" collapsed="false">
      <c r="A7" s="2"/>
      <c r="B7" s="16" t="s">
        <v>12</v>
      </c>
      <c r="C7" s="17" t="s">
        <v>13</v>
      </c>
      <c r="D7" s="12" t="s">
        <v>8</v>
      </c>
      <c r="E7" s="2"/>
    </row>
    <row r="8" customFormat="false" ht="23.85" hidden="false" customHeight="false" outlineLevel="0" collapsed="false">
      <c r="A8" s="2"/>
      <c r="B8" s="16" t="s">
        <v>14</v>
      </c>
      <c r="C8" s="17" t="s">
        <v>15</v>
      </c>
      <c r="D8" s="12" t="s">
        <v>16</v>
      </c>
      <c r="E8" s="2"/>
    </row>
    <row r="9" customFormat="false" ht="23.85" hidden="false" customHeight="false" outlineLevel="0" collapsed="false">
      <c r="A9" s="2"/>
      <c r="B9" s="16" t="s">
        <v>17</v>
      </c>
      <c r="C9" s="17" t="s">
        <v>18</v>
      </c>
      <c r="D9" s="12" t="s">
        <v>16</v>
      </c>
      <c r="E9" s="2"/>
    </row>
    <row r="10" customFormat="false" ht="7.45" hidden="false" customHeight="true" outlineLevel="0" collapsed="false">
      <c r="A10" s="2"/>
      <c r="B10" s="18"/>
      <c r="C10" s="19"/>
      <c r="D10" s="20"/>
      <c r="E10" s="2"/>
    </row>
    <row r="11" customFormat="false" ht="15" hidden="false" customHeight="false" outlineLevel="0" collapsed="false">
      <c r="A11" s="2"/>
      <c r="B11" s="21" t="s">
        <v>19</v>
      </c>
      <c r="C11" s="21"/>
      <c r="D11" s="21"/>
      <c r="E11" s="2"/>
    </row>
    <row r="12" customFormat="false" ht="33.55" hidden="false" customHeight="true" outlineLevel="0" collapsed="false">
      <c r="A12" s="2"/>
      <c r="B12" s="22" t="s">
        <v>20</v>
      </c>
      <c r="C12" s="22"/>
      <c r="D12" s="22"/>
      <c r="E12" s="2"/>
    </row>
    <row r="13" customFormat="false" ht="15" hidden="false" customHeight="false" outlineLevel="0" collapsed="false">
      <c r="A13" s="2"/>
      <c r="B13" s="21" t="s">
        <v>21</v>
      </c>
      <c r="C13" s="21"/>
      <c r="D13" s="21"/>
      <c r="E13" s="2"/>
    </row>
    <row r="14" customFormat="false" ht="44" hidden="false" customHeight="true" outlineLevel="0" collapsed="false">
      <c r="A14" s="2"/>
      <c r="B14" s="22" t="s">
        <v>22</v>
      </c>
      <c r="C14" s="22"/>
      <c r="D14" s="22"/>
      <c r="E14" s="2"/>
    </row>
    <row r="15" customFormat="false" ht="12.8" hidden="false" customHeight="false" outlineLevel="0" collapsed="false">
      <c r="A15" s="2"/>
      <c r="B15" s="8"/>
      <c r="C15" s="2"/>
      <c r="D15" s="2"/>
      <c r="E15" s="2"/>
    </row>
    <row r="16" customFormat="false" ht="15" hidden="false" customHeight="false" outlineLevel="0" collapsed="false">
      <c r="A16" s="2"/>
      <c r="B16" s="9" t="s">
        <v>23</v>
      </c>
      <c r="C16" s="9"/>
      <c r="D16" s="9"/>
      <c r="E16" s="2"/>
    </row>
    <row r="17" customFormat="false" ht="12.8" hidden="false" customHeight="false" outlineLevel="0" collapsed="false">
      <c r="A17" s="2"/>
      <c r="B17" s="13"/>
      <c r="C17" s="14" t="s">
        <v>10</v>
      </c>
      <c r="D17" s="15" t="s">
        <v>11</v>
      </c>
      <c r="E17" s="2"/>
    </row>
    <row r="18" customFormat="false" ht="35.05" hidden="false" customHeight="false" outlineLevel="0" collapsed="false">
      <c r="A18" s="2"/>
      <c r="B18" s="16" t="s">
        <v>12</v>
      </c>
      <c r="C18" s="17" t="s">
        <v>24</v>
      </c>
      <c r="D18" s="12" t="s">
        <v>8</v>
      </c>
      <c r="E18" s="2"/>
    </row>
    <row r="19" customFormat="false" ht="35.05" hidden="false" customHeight="false" outlineLevel="0" collapsed="false">
      <c r="A19" s="2"/>
      <c r="B19" s="16" t="s">
        <v>17</v>
      </c>
      <c r="C19" s="17" t="s">
        <v>25</v>
      </c>
      <c r="D19" s="12" t="s">
        <v>8</v>
      </c>
      <c r="E19" s="2"/>
    </row>
    <row r="20" customFormat="false" ht="7.45" hidden="false" customHeight="true" outlineLevel="0" collapsed="false">
      <c r="A20" s="2"/>
      <c r="B20" s="18"/>
      <c r="C20" s="19"/>
      <c r="D20" s="20"/>
      <c r="E20" s="2"/>
    </row>
    <row r="21" customFormat="false" ht="15" hidden="false" customHeight="false" outlineLevel="0" collapsed="false">
      <c r="A21" s="2"/>
      <c r="B21" s="21" t="s">
        <v>19</v>
      </c>
      <c r="C21" s="21"/>
      <c r="D21" s="21"/>
      <c r="E21" s="2"/>
    </row>
    <row r="22" customFormat="false" ht="37.3" hidden="false" customHeight="true" outlineLevel="0" collapsed="false">
      <c r="A22" s="2"/>
      <c r="B22" s="22" t="s">
        <v>20</v>
      </c>
      <c r="C22" s="22"/>
      <c r="D22" s="22"/>
      <c r="E22" s="2"/>
    </row>
    <row r="23" customFormat="false" ht="15" hidden="false" customHeight="false" outlineLevel="0" collapsed="false">
      <c r="A23" s="2"/>
      <c r="B23" s="21" t="s">
        <v>21</v>
      </c>
      <c r="C23" s="21"/>
      <c r="D23" s="21"/>
      <c r="E23" s="2"/>
    </row>
    <row r="24" customFormat="false" ht="59.7" hidden="false" customHeight="true" outlineLevel="0" collapsed="false">
      <c r="A24" s="2"/>
      <c r="B24" s="22" t="s">
        <v>22</v>
      </c>
      <c r="C24" s="22"/>
      <c r="D24" s="22"/>
      <c r="E24" s="2"/>
    </row>
    <row r="25" customFormat="false" ht="12.8" hidden="false" customHeight="false" outlineLevel="0" collapsed="false">
      <c r="A25" s="2"/>
      <c r="B25" s="2"/>
      <c r="C25" s="2"/>
      <c r="D25" s="2"/>
      <c r="E25" s="2"/>
    </row>
    <row r="26" customFormat="false" ht="12.8" hidden="false" customHeight="false" outlineLevel="0" collapsed="false">
      <c r="B26" s="23"/>
    </row>
    <row r="27" customFormat="false" ht="12.8" hidden="false" customHeight="false" outlineLevel="0" collapsed="false">
      <c r="B27" s="24"/>
    </row>
    <row r="28" customFormat="false" ht="12.8" hidden="false" customHeight="false" outlineLevel="0" collapsed="false">
      <c r="B28" s="24"/>
    </row>
    <row r="29" customFormat="false" ht="12.8" hidden="false" customHeight="false" outlineLevel="0" collapsed="false">
      <c r="B29" s="24"/>
    </row>
    <row r="30" customFormat="false" ht="15" hidden="false" customHeight="false" outlineLevel="0" collapsed="false">
      <c r="B30" s="25"/>
    </row>
    <row r="31" customFormat="false" ht="12.8" hidden="false" customHeight="false" outlineLevel="0" collapsed="false">
      <c r="B31" s="23"/>
    </row>
    <row r="32" customFormat="false" ht="12.8" hidden="false" customHeight="false" outlineLevel="0" collapsed="false">
      <c r="B32" s="24"/>
    </row>
    <row r="33" customFormat="false" ht="12.8" hidden="false" customHeight="false" outlineLevel="0" collapsed="false">
      <c r="B33" s="24"/>
    </row>
  </sheetData>
  <mergeCells count="11">
    <mergeCell ref="B2:D2"/>
    <mergeCell ref="B5:D5"/>
    <mergeCell ref="B11:D11"/>
    <mergeCell ref="B12:D12"/>
    <mergeCell ref="B13:D13"/>
    <mergeCell ref="B14:D14"/>
    <mergeCell ref="B16:D16"/>
    <mergeCell ref="B21:D21"/>
    <mergeCell ref="B22:D22"/>
    <mergeCell ref="B23:D23"/>
    <mergeCell ref="B24:D24"/>
  </mergeCells>
  <dataValidations count="1">
    <dataValidation allowBlank="true" errorStyle="stop" operator="equal" showDropDown="false" showErrorMessage="true" showInputMessage="false" sqref="D3 D7:D10 D18:D20" type="list">
      <formula1>_lookup_YesNo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I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ColWidth="11.53515625" defaultRowHeight="12.8" zeroHeight="false" outlineLevelRow="0" outlineLevelCol="0"/>
  <cols>
    <col collapsed="false" customWidth="true" hidden="false" outlineLevel="0" max="1" min="1" style="26" width="10.85"/>
    <col collapsed="false" customWidth="true" hidden="false" outlineLevel="0" max="3" min="3" style="27" width="9.87"/>
    <col collapsed="false" customWidth="true" hidden="false" outlineLevel="0" max="7" min="4" style="1" width="13.75"/>
  </cols>
  <sheetData>
    <row r="1" customFormat="false" ht="12.8" hidden="false" customHeight="false" outlineLevel="0" collapsed="false">
      <c r="A1" s="28"/>
      <c r="B1" s="29"/>
      <c r="C1" s="30"/>
      <c r="D1" s="29"/>
      <c r="E1" s="29"/>
      <c r="F1" s="29"/>
      <c r="G1" s="29"/>
      <c r="H1" s="29"/>
      <c r="I1" s="29"/>
    </row>
    <row r="2" customFormat="false" ht="19.05" hidden="false" customHeight="true" outlineLevel="0" collapsed="false">
      <c r="A2" s="28"/>
      <c r="B2" s="9" t="s">
        <v>26</v>
      </c>
      <c r="C2" s="9"/>
      <c r="D2" s="9"/>
      <c r="E2" s="9"/>
      <c r="F2" s="9"/>
      <c r="G2" s="9"/>
      <c r="H2" s="9"/>
      <c r="I2" s="29"/>
    </row>
    <row r="3" customFormat="false" ht="23.85" hidden="false" customHeight="false" outlineLevel="0" collapsed="false">
      <c r="A3" s="31"/>
      <c r="B3" s="32" t="s">
        <v>27</v>
      </c>
      <c r="C3" s="33" t="s">
        <v>28</v>
      </c>
      <c r="D3" s="33" t="s">
        <v>29</v>
      </c>
      <c r="E3" s="33" t="s">
        <v>30</v>
      </c>
      <c r="F3" s="33" t="s">
        <v>31</v>
      </c>
      <c r="G3" s="33" t="s">
        <v>32</v>
      </c>
      <c r="H3" s="33" t="s">
        <v>33</v>
      </c>
      <c r="I3" s="29"/>
    </row>
    <row r="4" customFormat="false" ht="18.2" hidden="false" customHeight="true" outlineLevel="0" collapsed="false">
      <c r="A4" s="31"/>
      <c r="B4" s="34" t="s">
        <v>33</v>
      </c>
      <c r="C4" s="35" t="n">
        <v>9</v>
      </c>
      <c r="D4" s="36" t="s">
        <v>34</v>
      </c>
      <c r="E4" s="36" t="s">
        <v>34</v>
      </c>
      <c r="F4" s="36" t="s">
        <v>34</v>
      </c>
      <c r="G4" s="36" t="s">
        <v>34</v>
      </c>
      <c r="H4" s="36" t="s">
        <v>34</v>
      </c>
      <c r="I4" s="29"/>
    </row>
    <row r="5" customFormat="false" ht="18.2" hidden="false" customHeight="true" outlineLevel="0" collapsed="false">
      <c r="A5" s="31"/>
      <c r="B5" s="34" t="s">
        <v>35</v>
      </c>
      <c r="C5" s="35" t="n">
        <v>7</v>
      </c>
      <c r="D5" s="36" t="s">
        <v>36</v>
      </c>
      <c r="E5" s="36" t="s">
        <v>34</v>
      </c>
      <c r="F5" s="36" t="s">
        <v>34</v>
      </c>
      <c r="G5" s="36" t="s">
        <v>34</v>
      </c>
      <c r="H5" s="36" t="s">
        <v>34</v>
      </c>
      <c r="I5" s="29"/>
    </row>
    <row r="6" customFormat="false" ht="18.2" hidden="false" customHeight="true" outlineLevel="0" collapsed="false">
      <c r="A6" s="31"/>
      <c r="B6" s="34" t="s">
        <v>37</v>
      </c>
      <c r="C6" s="35" t="n">
        <v>4</v>
      </c>
      <c r="D6" s="36" t="s">
        <v>36</v>
      </c>
      <c r="E6" s="36" t="s">
        <v>36</v>
      </c>
      <c r="F6" s="36" t="s">
        <v>34</v>
      </c>
      <c r="G6" s="36" t="s">
        <v>34</v>
      </c>
      <c r="H6" s="36" t="s">
        <v>34</v>
      </c>
      <c r="I6" s="29"/>
    </row>
    <row r="7" customFormat="false" ht="18.2" hidden="false" customHeight="true" outlineLevel="0" collapsed="false">
      <c r="A7" s="31"/>
      <c r="B7" s="34" t="s">
        <v>38</v>
      </c>
      <c r="C7" s="35" t="n">
        <v>0.1</v>
      </c>
      <c r="D7" s="36" t="s">
        <v>36</v>
      </c>
      <c r="E7" s="36" t="s">
        <v>36</v>
      </c>
      <c r="F7" s="36" t="s">
        <v>36</v>
      </c>
      <c r="G7" s="36" t="s">
        <v>34</v>
      </c>
      <c r="H7" s="36" t="s">
        <v>34</v>
      </c>
      <c r="I7" s="29"/>
    </row>
    <row r="8" customFormat="false" ht="18.2" hidden="false" customHeight="true" outlineLevel="0" collapsed="false">
      <c r="A8" s="31"/>
      <c r="B8" s="34" t="s">
        <v>39</v>
      </c>
      <c r="C8" s="35" t="n">
        <v>0</v>
      </c>
      <c r="D8" s="36" t="s">
        <v>36</v>
      </c>
      <c r="E8" s="36" t="s">
        <v>36</v>
      </c>
      <c r="F8" s="36" t="s">
        <v>36</v>
      </c>
      <c r="G8" s="36" t="s">
        <v>36</v>
      </c>
      <c r="H8" s="36" t="s">
        <v>36</v>
      </c>
      <c r="I8" s="29"/>
    </row>
    <row r="9" customFormat="false" ht="12.8" hidden="false" customHeight="false" outlineLevel="0" collapsed="false">
      <c r="A9" s="31"/>
      <c r="B9" s="29"/>
      <c r="C9" s="30"/>
      <c r="D9" s="29"/>
      <c r="E9" s="29"/>
      <c r="F9" s="29"/>
      <c r="G9" s="29"/>
      <c r="H9" s="29"/>
      <c r="I9" s="29"/>
    </row>
    <row r="16" customFormat="false" ht="12.8" hidden="false" customHeight="false" outlineLevel="0" collapsed="false">
      <c r="A16" s="1"/>
      <c r="B16" s="27"/>
      <c r="C16" s="1"/>
    </row>
    <row r="17" customFormat="false" ht="12.8" hidden="false" customHeight="false" outlineLevel="0" collapsed="false">
      <c r="A17" s="1"/>
      <c r="B17" s="27"/>
      <c r="C17" s="1"/>
    </row>
    <row r="18" customFormat="false" ht="12.8" hidden="false" customHeight="false" outlineLevel="0" collapsed="false">
      <c r="A18" s="1"/>
      <c r="B18" s="27"/>
      <c r="C18" s="1"/>
    </row>
    <row r="19" customFormat="false" ht="12.8" hidden="false" customHeight="false" outlineLevel="0" collapsed="false">
      <c r="A19" s="1"/>
      <c r="B19" s="27"/>
      <c r="C19" s="1"/>
    </row>
    <row r="20" customFormat="false" ht="12.8" hidden="false" customHeight="false" outlineLevel="0" collapsed="false">
      <c r="A20" s="1"/>
      <c r="B20" s="27"/>
      <c r="C20" s="1"/>
    </row>
    <row r="21" customFormat="false" ht="12.8" hidden="false" customHeight="false" outlineLevel="0" collapsed="false">
      <c r="A21" s="1"/>
      <c r="B21" s="27"/>
      <c r="C21" s="1"/>
    </row>
    <row r="28" customFormat="false" ht="12.8" hidden="false" customHeight="false" outlineLevel="0" collapsed="false">
      <c r="A28" s="1"/>
      <c r="B28" s="27"/>
      <c r="C28" s="1"/>
    </row>
    <row r="29" customFormat="false" ht="12.8" hidden="false" customHeight="false" outlineLevel="0" collapsed="false">
      <c r="A29" s="1"/>
      <c r="B29" s="27"/>
      <c r="C29" s="1"/>
    </row>
    <row r="30" customFormat="false" ht="12.8" hidden="false" customHeight="false" outlineLevel="0" collapsed="false">
      <c r="A30" s="1"/>
      <c r="B30" s="27"/>
      <c r="C30" s="1"/>
    </row>
    <row r="38" customFormat="false" ht="12.8" hidden="false" customHeight="false" outlineLevel="0" collapsed="false">
      <c r="A38" s="37"/>
    </row>
    <row r="39" customFormat="false" ht="12.8" hidden="false" customHeight="false" outlineLevel="0" collapsed="false">
      <c r="A39" s="37"/>
    </row>
    <row r="40" customFormat="false" ht="12.8" hidden="false" customHeight="false" outlineLevel="0" collapsed="false">
      <c r="A40" s="37"/>
    </row>
    <row r="41" customFormat="false" ht="12.8" hidden="false" customHeight="false" outlineLevel="0" collapsed="false">
      <c r="A41" s="37"/>
    </row>
    <row r="42" customFormat="false" ht="12.8" hidden="false" customHeight="false" outlineLevel="0" collapsed="false">
      <c r="A42" s="37"/>
    </row>
  </sheetData>
  <mergeCells count="1">
    <mergeCell ref="B2:H2"/>
  </mergeCells>
  <conditionalFormatting sqref="D4:H5 D7:H8 D6 G6:H6">
    <cfRule type="cellIs" priority="2" operator="equal" aboveAverage="0" equalAverage="0" bottom="0" percent="0" rank="0" text="" dxfId="0">
      <formula>"Controlled"</formula>
    </cfRule>
    <cfRule type="cellIs" priority="3" operator="equal" aboveAverage="0" equalAverage="0" bottom="0" percent="0" rank="0" text="" dxfId="1">
      <formula>"Uncontrolled"</formula>
    </cfRule>
  </conditionalFormatting>
  <conditionalFormatting sqref="E6:F6">
    <cfRule type="cellIs" priority="4" operator="equal" aboveAverage="0" equalAverage="0" bottom="0" percent="0" rank="0" text="" dxfId="0">
      <formula>"Controlled"</formula>
    </cfRule>
    <cfRule type="cellIs" priority="5" operator="equal" aboveAverage="0" equalAverage="0" bottom="0" percent="0" rank="0" text="" dxfId="1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A6099"/>
    <pageSetUpPr fitToPage="false"/>
  </sheetPr>
  <dimension ref="A1:BC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1.53515625" defaultRowHeight="12.8" zeroHeight="false" outlineLevelRow="0" outlineLevelCol="0"/>
  <cols>
    <col collapsed="false" customWidth="true" hidden="false" outlineLevel="0" max="1" min="1" style="38" width="12.38"/>
    <col collapsed="false" customWidth="true" hidden="false" outlineLevel="0" max="2" min="2" style="39" width="50.36"/>
    <col collapsed="false" customWidth="true" hidden="false" outlineLevel="0" max="3" min="3" style="39" width="37.69"/>
    <col collapsed="false" customWidth="true" hidden="false" outlineLevel="0" max="4" min="4" style="39" width="21.88"/>
    <col collapsed="false" customWidth="true" hidden="false" outlineLevel="0" max="5" min="5" style="38" width="21.88"/>
    <col collapsed="false" customWidth="true" hidden="false" outlineLevel="0" max="6" min="6" style="38" width="22.02"/>
    <col collapsed="false" customWidth="true" hidden="false" outlineLevel="0" max="7" min="7" style="39" width="64.31"/>
    <col collapsed="false" customWidth="true" hidden="false" outlineLevel="0" max="8" min="8" style="40" width="16.12"/>
    <col collapsed="false" customWidth="true" hidden="true" outlineLevel="0" max="9" min="9" style="40" width="12.83"/>
    <col collapsed="false" customWidth="true" hidden="true" outlineLevel="0" max="10" min="10" style="39" width="12.83"/>
    <col collapsed="false" customWidth="true" hidden="true" outlineLevel="0" max="11" min="11" style="39" width="16.12"/>
    <col collapsed="false" customWidth="true" hidden="true" outlineLevel="0" max="16" min="12" style="39" width="12.83"/>
    <col collapsed="false" customWidth="true" hidden="true" outlineLevel="0" max="17" min="17" style="39" width="17.24"/>
    <col collapsed="false" customWidth="true" hidden="true" outlineLevel="0" max="18" min="18" style="39" width="13.91"/>
    <col collapsed="false" customWidth="true" hidden="true" outlineLevel="0" max="19" min="19" style="39" width="14.74"/>
    <col collapsed="false" customWidth="true" hidden="false" outlineLevel="0" max="20" min="20" style="41" width="10.85"/>
    <col collapsed="false" customWidth="false" hidden="false" outlineLevel="0" max="21" min="21" style="42" width="11.53"/>
    <col collapsed="false" customWidth="true" hidden="false" outlineLevel="0" max="22" min="22" style="42" width="19.47"/>
    <col collapsed="false" customWidth="false" hidden="false" outlineLevel="0" max="23" min="23" style="43" width="11.53"/>
    <col collapsed="false" customWidth="true" hidden="false" outlineLevel="0" max="33" min="24" style="41" width="13.66"/>
    <col collapsed="false" customWidth="true" hidden="false" outlineLevel="0" max="34" min="34" style="39" width="64.58"/>
    <col collapsed="false" customWidth="true" hidden="false" outlineLevel="0" max="35" min="35" style="43" width="13.75"/>
    <col collapsed="false" customWidth="true" hidden="false" outlineLevel="0" max="36" min="36" style="41" width="13.66"/>
    <col collapsed="false" customWidth="true" hidden="false" outlineLevel="0" max="37" min="37" style="41" width="38.33"/>
    <col collapsed="false" customWidth="true" hidden="false" outlineLevel="0" max="38" min="38" style="41" width="15.71"/>
    <col collapsed="false" customWidth="false" hidden="false" outlineLevel="0" max="16384" min="39" style="41" width="11.53"/>
  </cols>
  <sheetData>
    <row r="1" customFormat="false" ht="23.85" hidden="false" customHeight="true" outlineLevel="0" collapsed="false">
      <c r="A1" s="44" t="s">
        <v>40</v>
      </c>
      <c r="B1" s="44"/>
      <c r="C1" s="44"/>
      <c r="D1" s="44"/>
      <c r="E1" s="44"/>
      <c r="F1" s="44"/>
      <c r="G1" s="45" t="s">
        <v>41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6" t="s">
        <v>42</v>
      </c>
      <c r="U1" s="46"/>
      <c r="V1" s="46"/>
      <c r="W1" s="47" t="str">
        <f aca="false">"MODIFIED BASE METRICS [CHARACTERIZATION="&amp;Characterization!D3&amp;"]"</f>
        <v>MODIFIED BASE METRICS [CHARACTERIZATION=No (N)]</v>
      </c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8" t="s">
        <v>43</v>
      </c>
      <c r="AI1" s="48"/>
      <c r="AJ1" s="49" t="s">
        <v>44</v>
      </c>
      <c r="AK1" s="49"/>
      <c r="AL1" s="50" t="s">
        <v>45</v>
      </c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</row>
    <row r="2" customFormat="false" ht="35.05" hidden="false" customHeight="false" outlineLevel="0" collapsed="false">
      <c r="A2" s="52" t="s">
        <v>46</v>
      </c>
      <c r="B2" s="52" t="s">
        <v>47</v>
      </c>
      <c r="C2" s="52" t="s">
        <v>48</v>
      </c>
      <c r="D2" s="52" t="s">
        <v>49</v>
      </c>
      <c r="E2" s="52" t="s">
        <v>50</v>
      </c>
      <c r="F2" s="52" t="s">
        <v>3</v>
      </c>
      <c r="G2" s="53" t="s">
        <v>51</v>
      </c>
      <c r="H2" s="54" t="s">
        <v>52</v>
      </c>
      <c r="I2" s="54" t="s">
        <v>53</v>
      </c>
      <c r="J2" s="54" t="s">
        <v>54</v>
      </c>
      <c r="K2" s="54" t="s">
        <v>55</v>
      </c>
      <c r="L2" s="54" t="s">
        <v>56</v>
      </c>
      <c r="M2" s="54" t="s">
        <v>57</v>
      </c>
      <c r="N2" s="54" t="s">
        <v>58</v>
      </c>
      <c r="O2" s="54" t="s">
        <v>59</v>
      </c>
      <c r="P2" s="54" t="s">
        <v>60</v>
      </c>
      <c r="Q2" s="54" t="s">
        <v>61</v>
      </c>
      <c r="R2" s="54" t="s">
        <v>62</v>
      </c>
      <c r="S2" s="54" t="s">
        <v>63</v>
      </c>
      <c r="T2" s="55" t="s">
        <v>64</v>
      </c>
      <c r="U2" s="55" t="s">
        <v>65</v>
      </c>
      <c r="V2" s="55" t="s">
        <v>66</v>
      </c>
      <c r="W2" s="56" t="s">
        <v>67</v>
      </c>
      <c r="X2" s="56" t="s">
        <v>68</v>
      </c>
      <c r="Y2" s="56" t="s">
        <v>69</v>
      </c>
      <c r="Z2" s="56" t="s">
        <v>70</v>
      </c>
      <c r="AA2" s="56" t="s">
        <v>71</v>
      </c>
      <c r="AB2" s="56" t="s">
        <v>72</v>
      </c>
      <c r="AC2" s="56" t="s">
        <v>73</v>
      </c>
      <c r="AD2" s="56" t="s">
        <v>74</v>
      </c>
      <c r="AE2" s="56" t="s">
        <v>75</v>
      </c>
      <c r="AF2" s="56" t="s">
        <v>76</v>
      </c>
      <c r="AG2" s="56" t="s">
        <v>77</v>
      </c>
      <c r="AH2" s="57" t="s">
        <v>51</v>
      </c>
      <c r="AI2" s="58" t="s">
        <v>78</v>
      </c>
      <c r="AJ2" s="59" t="s">
        <v>79</v>
      </c>
      <c r="AK2" s="59" t="s">
        <v>80</v>
      </c>
      <c r="AL2" s="50"/>
    </row>
    <row r="3" customFormat="false" ht="12.8" hidden="false" customHeight="false" outlineLevel="0" collapsed="false">
      <c r="A3" s="60"/>
      <c r="B3" s="61"/>
      <c r="C3" s="61"/>
      <c r="D3" s="61"/>
      <c r="E3" s="60"/>
      <c r="F3" s="60"/>
      <c r="G3" s="62" t="s">
        <v>81</v>
      </c>
      <c r="H3" s="63" t="n">
        <f aca="false">CVSS_SCORE(G3)</f>
        <v>1</v>
      </c>
      <c r="I3" s="63" t="str">
        <f aca="false">GET_CVSS_ELEMENT($G3,"AV")</f>
        <v>Local (L)</v>
      </c>
      <c r="J3" s="63" t="str">
        <f aca="false">GET_CVSS_ELEMENT($G3,"AC")</f>
        <v>Low (L)</v>
      </c>
      <c r="K3" s="63" t="str">
        <f aca="false">GET_CVSS_ELEMENT($G3,"AT")</f>
        <v>Present (P)</v>
      </c>
      <c r="L3" s="63" t="str">
        <f aca="false">GET_CVSS_ELEMENT($G3,"PR")</f>
        <v>Low (L)</v>
      </c>
      <c r="M3" s="63" t="str">
        <f aca="false">GET_CVSS_ELEMENT($G3,"UI")</f>
        <v>Passive (P)</v>
      </c>
      <c r="N3" s="63" t="str">
        <f aca="false">GET_CVSS_ELEMENT($G3,"VC")</f>
        <v>Low (L)</v>
      </c>
      <c r="O3" s="63" t="str">
        <f aca="false">GET_CVSS_ELEMENT($G3,"VI")</f>
        <v>Low (L)</v>
      </c>
      <c r="P3" s="63" t="str">
        <f aca="false">GET_CVSS_ELEMENT($G3,"VA")</f>
        <v>Low (L)</v>
      </c>
      <c r="Q3" s="63" t="str">
        <f aca="false">GET_CVSS_ELEMENT($G3,"SC")</f>
        <v>Low (L)</v>
      </c>
      <c r="R3" s="63" t="str">
        <f aca="false">GET_CVSS_ELEMENT($G3,"SI")</f>
        <v>Low (L)</v>
      </c>
      <c r="S3" s="63" t="str">
        <f aca="false">GET_CVSS_ELEMENT($G3,"SA")</f>
        <v>Low (L)</v>
      </c>
      <c r="T3" s="64" t="n">
        <v>1</v>
      </c>
      <c r="U3" s="65" t="n">
        <v>0.6</v>
      </c>
      <c r="V3" s="66" t="str">
        <f aca="false">GETEXPLOIT(U3,T3)</f>
        <v>Attacked (A)</v>
      </c>
      <c r="W3" s="67" t="str">
        <f aca="false">INDEX(_map_AV_MAV, MATCH(I3, INDEX(_map_AV_MAV,,1), 0), 2)</f>
        <v>Local (L)</v>
      </c>
      <c r="X3" s="67" t="str">
        <f aca="false">INDEX(_map_AC_MAC, MATCH(J3, INDEX(_map_AC_MAC,,1), 0), 2)</f>
        <v>Low (L)</v>
      </c>
      <c r="Y3" s="68" t="str">
        <f aca="false">K3</f>
        <v>Present (P)</v>
      </c>
      <c r="Z3" s="68" t="str">
        <f aca="false">L3</f>
        <v>Low (L)</v>
      </c>
      <c r="AA3" s="68" t="str">
        <f aca="false">M3</f>
        <v>Passive (P)</v>
      </c>
      <c r="AB3" s="68" t="str">
        <f aca="false">N3</f>
        <v>Low (L)</v>
      </c>
      <c r="AC3" s="68" t="str">
        <f aca="false">O3</f>
        <v>Low (L)</v>
      </c>
      <c r="AD3" s="68" t="str">
        <f aca="false">P3</f>
        <v>Low (L)</v>
      </c>
      <c r="AE3" s="68" t="str">
        <f aca="false">Q3</f>
        <v>Low (L)</v>
      </c>
      <c r="AF3" s="68" t="str">
        <f aca="false">R3</f>
        <v>Low (L)</v>
      </c>
      <c r="AG3" s="68" t="str">
        <f aca="false">S3</f>
        <v>Low (L)</v>
      </c>
      <c r="AH3" s="69" t="str">
        <f aca="false">GET_CVSS4_VECTOR_STR(W3,X3,Y3,Z3,AA3,AB3,AC3,AD3,AE3,AF3,AG3,V3)</f>
        <v>CVSS:4.0/AV:L/AC:L/AT:P/PR:L/UI:P/VC:L/VI:L/VA:L/SC:L/SI:L/SA:L/E:A</v>
      </c>
      <c r="AI3" s="63" t="n">
        <f aca="false">CVSS_SCORE(AH3)</f>
        <v>1</v>
      </c>
      <c r="AJ3" s="68" t="s">
        <v>29</v>
      </c>
      <c r="AK3" s="70"/>
      <c r="AL3" s="70" t="str">
        <f aca="false">GET_CONTROLLED_STATUS(AI3,AJ3)</f>
        <v>Controlled</v>
      </c>
    </row>
  </sheetData>
  <autoFilter ref="A2:AK3"/>
  <mergeCells count="7">
    <mergeCell ref="A1:F1"/>
    <mergeCell ref="G1:S1"/>
    <mergeCell ref="T1:V1"/>
    <mergeCell ref="W1:AG1"/>
    <mergeCell ref="AH1:AI1"/>
    <mergeCell ref="AJ1:AK1"/>
    <mergeCell ref="AL1:AL2"/>
  </mergeCells>
  <conditionalFormatting sqref="AL3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5">
    <dataValidation allowBlank="true" errorStyle="stop" operator="equal" showDropDown="false" showErrorMessage="true" showInputMessage="false" sqref="G1:G995 T1:T2 A2:F3 H2:S3 U3 AH3:AI3 AK3:AL3 T4:T995" type="none">
      <formula1>0</formula1>
      <formula2>0</formula2>
    </dataValidation>
    <dataValidation allowBlank="true" errorStyle="stop" operator="equal" showDropDown="false" showErrorMessage="true" showInputMessage="false" sqref="W3" type="list">
      <formula1>_lookup_AV</formula1>
      <formula2>0</formula2>
    </dataValidation>
    <dataValidation allowBlank="true" errorStyle="stop" operator="equal" showDropDown="false" showErrorMessage="true" showInputMessage="false" sqref="X3" type="list">
      <formula1>_lookup_AC</formula1>
      <formula2>0</formula2>
    </dataValidation>
    <dataValidation allowBlank="true" errorStyle="stop" operator="equal" showDropDown="false" showErrorMessage="true" showInputMessage="false" sqref="Y3" type="list">
      <formula1>_lookup_AT</formula1>
      <formula2>0</formula2>
    </dataValidation>
    <dataValidation allowBlank="true" errorStyle="stop" operator="equal" showDropDown="false" showErrorMessage="true" showInputMessage="false" sqref="Z3" type="list">
      <formula1>_lookup_PR</formula1>
      <formula2>0</formula2>
    </dataValidation>
    <dataValidation allowBlank="true" errorStyle="stop" operator="equal" showDropDown="false" showErrorMessage="true" showInputMessage="false" sqref="AA3" type="list">
      <formula1>_lookup_UI</formula1>
      <formula2>0</formula2>
    </dataValidation>
    <dataValidation allowBlank="true" errorStyle="stop" operator="equal" showDropDown="false" showErrorMessage="true" showInputMessage="false" sqref="AB3" type="list">
      <formula1>_lookup_VC</formula1>
      <formula2>0</formula2>
    </dataValidation>
    <dataValidation allowBlank="true" errorStyle="stop" operator="equal" showDropDown="false" showErrorMessage="true" showInputMessage="false" sqref="AC3" type="list">
      <formula1>_lookup_VI</formula1>
      <formula2>0</formula2>
    </dataValidation>
    <dataValidation allowBlank="true" errorStyle="stop" operator="equal" showDropDown="false" showErrorMessage="true" showInputMessage="false" sqref="AD3" type="list">
      <formula1>_lookup_VA</formula1>
      <formula2>0</formula2>
    </dataValidation>
    <dataValidation allowBlank="true" errorStyle="stop" operator="equal" showDropDown="false" showErrorMessage="true" showInputMessage="false" sqref="AE3" type="list">
      <formula1>_lookup_SC</formula1>
      <formula2>0</formula2>
    </dataValidation>
    <dataValidation allowBlank="true" errorStyle="stop" operator="equal" showDropDown="false" showErrorMessage="true" showInputMessage="false" sqref="AF3" type="list">
      <formula1>_lookup_MSI</formula1>
      <formula2>0</formula2>
    </dataValidation>
    <dataValidation allowBlank="true" errorStyle="stop" operator="equal" showDropDown="false" showErrorMessage="true" showInputMessage="false" sqref="AG3" type="list">
      <formula1>_lookup_MSA</formula1>
      <formula2>0</formula2>
    </dataValidation>
    <dataValidation allowBlank="true" errorStyle="stop" operator="equal" showDropDown="false" showErrorMessage="true" showInputMessage="false" sqref="AJ3" type="list">
      <formula1>_lookup_SafetyRating</formula1>
      <formula2>0</formula2>
    </dataValidation>
    <dataValidation allowBlank="true" errorStyle="stop" operator="equal" showDropDown="false" showErrorMessage="true" showInputMessage="false" sqref="T3" type="none">
      <formula1>_lookup_YesNo</formula1>
      <formula2>0</formula2>
    </dataValidation>
    <dataValidation allowBlank="true" errorStyle="stop" operator="equal" showDropDown="false" showErrorMessage="true" showInputMessage="false" sqref="V3" type="list">
      <formula1>_lookup_E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M87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O5" activeCellId="0" sqref="O5"/>
    </sheetView>
  </sheetViews>
  <sheetFormatPr defaultColWidth="11.53515625" defaultRowHeight="17.4" zeroHeight="false" outlineLevelRow="0" outlineLevelCol="0"/>
  <cols>
    <col collapsed="false" customWidth="true" hidden="false" outlineLevel="0" max="2" min="1" style="1" width="9.08"/>
    <col collapsed="false" customWidth="true" hidden="false" outlineLevel="0" max="4" min="3" style="1" width="20.43"/>
    <col collapsed="false" customWidth="false" hidden="false" outlineLevel="0" max="5" min="5" style="1" width="11.53"/>
    <col collapsed="false" customWidth="true" hidden="false" outlineLevel="0" max="6" min="6" style="1" width="9.08"/>
    <col collapsed="false" customWidth="true" hidden="false" outlineLevel="0" max="7" min="7" style="1" width="20.43"/>
    <col collapsed="false" customWidth="true" hidden="false" outlineLevel="0" max="8" min="8" style="1" width="24.92"/>
    <col collapsed="false" customWidth="false" hidden="false" outlineLevel="0" max="10" min="9" style="1" width="11.53"/>
    <col collapsed="false" customWidth="true" hidden="false" outlineLevel="0" max="11" min="11" style="1" width="13.38"/>
    <col collapsed="false" customWidth="true" hidden="false" outlineLevel="0" max="12" min="12" style="1" width="13.07"/>
    <col collapsed="false" customWidth="false" hidden="false" outlineLevel="0" max="16384" min="13" style="1" width="11.53"/>
  </cols>
  <sheetData>
    <row r="1" customFormat="false" ht="17.4" hidden="false" customHeight="true" outlineLevel="0" collapsed="false">
      <c r="A1" s="29"/>
      <c r="B1" s="71" t="s">
        <v>82</v>
      </c>
      <c r="C1" s="29"/>
      <c r="D1" s="29"/>
      <c r="E1" s="29"/>
      <c r="F1" s="71" t="s">
        <v>83</v>
      </c>
      <c r="G1" s="29"/>
      <c r="H1" s="29"/>
      <c r="I1" s="29"/>
      <c r="J1" s="29"/>
      <c r="K1" s="29"/>
      <c r="L1" s="29"/>
      <c r="M1" s="29"/>
    </row>
    <row r="2" customFormat="false" ht="17.4" hidden="false" customHeight="true" outlineLevel="0" collapsed="false">
      <c r="A2" s="29"/>
      <c r="B2" s="72" t="s">
        <v>53</v>
      </c>
      <c r="C2" s="72"/>
      <c r="D2" s="72"/>
      <c r="E2" s="29"/>
      <c r="F2" s="72" t="s">
        <v>44</v>
      </c>
      <c r="G2" s="72"/>
      <c r="H2" s="72"/>
      <c r="I2" s="29"/>
      <c r="J2" s="72" t="s">
        <v>11</v>
      </c>
      <c r="K2" s="72"/>
      <c r="L2" s="72"/>
      <c r="M2" s="29"/>
    </row>
    <row r="3" customFormat="false" ht="17.4" hidden="false" customHeight="true" outlineLevel="0" collapsed="false">
      <c r="A3" s="29"/>
      <c r="B3" s="73" t="s">
        <v>84</v>
      </c>
      <c r="C3" s="73" t="s">
        <v>85</v>
      </c>
      <c r="D3" s="73" t="s">
        <v>86</v>
      </c>
      <c r="E3" s="29"/>
      <c r="F3" s="73" t="s">
        <v>84</v>
      </c>
      <c r="G3" s="73" t="s">
        <v>85</v>
      </c>
      <c r="H3" s="73" t="s">
        <v>86</v>
      </c>
      <c r="I3" s="29"/>
      <c r="J3" s="73" t="s">
        <v>84</v>
      </c>
      <c r="K3" s="73" t="s">
        <v>85</v>
      </c>
      <c r="L3" s="73" t="s">
        <v>86</v>
      </c>
      <c r="M3" s="29"/>
    </row>
    <row r="4" customFormat="false" ht="17.4" hidden="false" customHeight="true" outlineLevel="0" collapsed="false">
      <c r="A4" s="29"/>
      <c r="B4" s="74" t="s">
        <v>87</v>
      </c>
      <c r="C4" s="75" t="s">
        <v>88</v>
      </c>
      <c r="D4" s="75" t="str">
        <f aca="false">C4&amp;" ("&amp;B4&amp;")"</f>
        <v>Network (N)</v>
      </c>
      <c r="E4" s="29"/>
      <c r="F4" s="74" t="s">
        <v>89</v>
      </c>
      <c r="G4" s="75" t="s">
        <v>90</v>
      </c>
      <c r="H4" s="75" t="str">
        <f aca="false">G4&amp;" ("&amp;F4&amp;")"</f>
        <v>Not Defined (X)</v>
      </c>
      <c r="I4" s="29"/>
      <c r="J4" s="74" t="s">
        <v>91</v>
      </c>
      <c r="K4" s="75" t="s">
        <v>92</v>
      </c>
      <c r="L4" s="75" t="str">
        <f aca="false">K4&amp;" ("&amp;J4&amp;")"</f>
        <v>Yes (Y)</v>
      </c>
      <c r="M4" s="29"/>
    </row>
    <row r="5" customFormat="false" ht="17.4" hidden="false" customHeight="true" outlineLevel="0" collapsed="false">
      <c r="A5" s="29"/>
      <c r="B5" s="76" t="s">
        <v>93</v>
      </c>
      <c r="C5" s="77" t="s">
        <v>94</v>
      </c>
      <c r="D5" s="75" t="str">
        <f aca="false">C5&amp;" ("&amp;B5&amp;")"</f>
        <v>Adjacent (A)</v>
      </c>
      <c r="E5" s="29"/>
      <c r="F5" s="76" t="s">
        <v>87</v>
      </c>
      <c r="G5" s="77" t="s">
        <v>29</v>
      </c>
      <c r="H5" s="75" t="str">
        <f aca="false">G5&amp;" ("&amp;F5&amp;")"</f>
        <v>Negligible (N)</v>
      </c>
      <c r="I5" s="29"/>
      <c r="J5" s="76" t="s">
        <v>87</v>
      </c>
      <c r="K5" s="77" t="s">
        <v>95</v>
      </c>
      <c r="L5" s="75" t="str">
        <f aca="false">K5&amp;" ("&amp;J5&amp;")"</f>
        <v>No (N)</v>
      </c>
      <c r="M5" s="29"/>
    </row>
    <row r="6" customFormat="false" ht="17.4" hidden="false" customHeight="true" outlineLevel="0" collapsed="false">
      <c r="A6" s="29"/>
      <c r="B6" s="74" t="s">
        <v>96</v>
      </c>
      <c r="C6" s="75" t="s">
        <v>97</v>
      </c>
      <c r="D6" s="75" t="str">
        <f aca="false">C6&amp;" ("&amp;B6&amp;")"</f>
        <v>Local (L)</v>
      </c>
      <c r="E6" s="29"/>
      <c r="F6" s="74" t="s">
        <v>98</v>
      </c>
      <c r="G6" s="75" t="s">
        <v>99</v>
      </c>
      <c r="H6" s="75" t="str">
        <f aca="false">G6&amp;" ("&amp;F6&amp;")"</f>
        <v>Present (P)</v>
      </c>
      <c r="I6" s="29"/>
      <c r="J6" s="29"/>
      <c r="K6" s="29"/>
      <c r="L6" s="29"/>
      <c r="M6" s="29"/>
    </row>
    <row r="7" customFormat="false" ht="17.4" hidden="false" customHeight="true" outlineLevel="0" collapsed="false">
      <c r="A7" s="29"/>
      <c r="B7" s="76" t="s">
        <v>98</v>
      </c>
      <c r="C7" s="77" t="s">
        <v>100</v>
      </c>
      <c r="D7" s="75" t="str">
        <f aca="false">C7&amp;" ("&amp;B7&amp;")"</f>
        <v>Physical (P)</v>
      </c>
      <c r="E7" s="29"/>
      <c r="F7" s="29"/>
      <c r="G7" s="29"/>
      <c r="H7" s="29"/>
      <c r="I7" s="29"/>
    </row>
    <row r="8" customFormat="false" ht="17.4" hidden="false" customHeight="true" outlineLevel="0" collapsed="false">
      <c r="A8" s="29"/>
      <c r="B8" s="29"/>
      <c r="C8" s="29"/>
      <c r="D8" s="29"/>
      <c r="E8" s="29"/>
      <c r="F8" s="72" t="s">
        <v>101</v>
      </c>
      <c r="G8" s="72"/>
      <c r="H8" s="72"/>
      <c r="I8" s="29"/>
    </row>
    <row r="9" customFormat="false" ht="17.4" hidden="false" customHeight="true" outlineLevel="0" collapsed="false">
      <c r="A9" s="29"/>
      <c r="B9" s="78" t="s">
        <v>54</v>
      </c>
      <c r="C9" s="78"/>
      <c r="D9" s="78"/>
      <c r="E9" s="29"/>
      <c r="F9" s="73" t="s">
        <v>84</v>
      </c>
      <c r="G9" s="73" t="s">
        <v>85</v>
      </c>
      <c r="H9" s="73" t="s">
        <v>86</v>
      </c>
      <c r="I9" s="29"/>
    </row>
    <row r="10" customFormat="false" ht="17.4" hidden="false" customHeight="true" outlineLevel="0" collapsed="false">
      <c r="A10" s="29"/>
      <c r="B10" s="73" t="s">
        <v>84</v>
      </c>
      <c r="C10" s="73" t="s">
        <v>85</v>
      </c>
      <c r="D10" s="73" t="s">
        <v>86</v>
      </c>
      <c r="E10" s="29"/>
      <c r="F10" s="74" t="s">
        <v>89</v>
      </c>
      <c r="G10" s="75" t="s">
        <v>90</v>
      </c>
      <c r="H10" s="75" t="str">
        <f aca="false">G10&amp;" ("&amp;F10&amp;")"</f>
        <v>Not Defined (X)</v>
      </c>
      <c r="I10" s="29"/>
    </row>
    <row r="11" customFormat="false" ht="17.4" hidden="false" customHeight="true" outlineLevel="0" collapsed="false">
      <c r="A11" s="29"/>
      <c r="B11" s="74" t="s">
        <v>96</v>
      </c>
      <c r="C11" s="75" t="s">
        <v>38</v>
      </c>
      <c r="D11" s="75" t="str">
        <f aca="false">C11&amp;" ("&amp;B11&amp;")"</f>
        <v>Low (L)</v>
      </c>
      <c r="E11" s="29"/>
      <c r="F11" s="74" t="s">
        <v>87</v>
      </c>
      <c r="G11" s="75" t="s">
        <v>95</v>
      </c>
      <c r="H11" s="75" t="str">
        <f aca="false">G11&amp;" ("&amp;F11&amp;")"</f>
        <v>No (N)</v>
      </c>
      <c r="I11" s="29"/>
    </row>
    <row r="12" customFormat="false" ht="17.4" hidden="false" customHeight="true" outlineLevel="0" collapsed="false">
      <c r="A12" s="29"/>
      <c r="B12" s="76" t="s">
        <v>102</v>
      </c>
      <c r="C12" s="77" t="s">
        <v>35</v>
      </c>
      <c r="D12" s="75" t="str">
        <f aca="false">C12&amp;" ("&amp;B12&amp;")"</f>
        <v>High (H)</v>
      </c>
      <c r="E12" s="29"/>
      <c r="F12" s="76" t="s">
        <v>91</v>
      </c>
      <c r="G12" s="77" t="s">
        <v>92</v>
      </c>
      <c r="H12" s="75" t="str">
        <f aca="false">G12&amp;" ("&amp;F12&amp;")"</f>
        <v>Yes (Y)</v>
      </c>
      <c r="I12" s="29"/>
    </row>
    <row r="13" customFormat="false" ht="17.4" hidden="false" customHeight="true" outlineLevel="0" collapsed="false">
      <c r="A13" s="29"/>
      <c r="B13" s="29"/>
      <c r="C13" s="29"/>
      <c r="D13" s="29"/>
      <c r="E13" s="29"/>
      <c r="F13" s="29"/>
      <c r="G13" s="29"/>
      <c r="H13" s="29"/>
      <c r="I13" s="29"/>
    </row>
    <row r="14" customFormat="false" ht="17.4" hidden="false" customHeight="true" outlineLevel="0" collapsed="false">
      <c r="A14" s="29"/>
      <c r="B14" s="78" t="s">
        <v>55</v>
      </c>
      <c r="C14" s="78"/>
      <c r="D14" s="78"/>
      <c r="E14" s="29"/>
      <c r="F14" s="72" t="s">
        <v>103</v>
      </c>
      <c r="G14" s="72"/>
      <c r="H14" s="72"/>
      <c r="I14" s="29"/>
    </row>
    <row r="15" customFormat="false" ht="17.4" hidden="false" customHeight="true" outlineLevel="0" collapsed="false">
      <c r="A15" s="29"/>
      <c r="B15" s="73" t="s">
        <v>84</v>
      </c>
      <c r="C15" s="73" t="s">
        <v>85</v>
      </c>
      <c r="D15" s="73" t="s">
        <v>86</v>
      </c>
      <c r="E15" s="29"/>
      <c r="F15" s="73" t="s">
        <v>84</v>
      </c>
      <c r="G15" s="73" t="s">
        <v>85</v>
      </c>
      <c r="H15" s="73" t="s">
        <v>86</v>
      </c>
      <c r="I15" s="29"/>
    </row>
    <row r="16" customFormat="false" ht="17.4" hidden="false" customHeight="true" outlineLevel="0" collapsed="false">
      <c r="A16" s="29"/>
      <c r="B16" s="74" t="s">
        <v>87</v>
      </c>
      <c r="C16" s="75" t="s">
        <v>39</v>
      </c>
      <c r="D16" s="75" t="str">
        <f aca="false">C16&amp;" ("&amp;B16&amp;")"</f>
        <v>None (N)</v>
      </c>
      <c r="E16" s="29"/>
      <c r="F16" s="74" t="s">
        <v>89</v>
      </c>
      <c r="G16" s="75" t="s">
        <v>90</v>
      </c>
      <c r="H16" s="75" t="str">
        <f aca="false">G16&amp;" ("&amp;F16&amp;")"</f>
        <v>Not Defined (X)</v>
      </c>
      <c r="I16" s="29"/>
    </row>
    <row r="17" customFormat="false" ht="17.4" hidden="false" customHeight="true" outlineLevel="0" collapsed="false">
      <c r="A17" s="29"/>
      <c r="B17" s="76" t="s">
        <v>98</v>
      </c>
      <c r="C17" s="77" t="s">
        <v>99</v>
      </c>
      <c r="D17" s="75" t="str">
        <f aca="false">C17&amp;" ("&amp;B17&amp;")"</f>
        <v>Present (P)</v>
      </c>
      <c r="E17" s="29"/>
      <c r="F17" s="74" t="s">
        <v>93</v>
      </c>
      <c r="G17" s="75" t="s">
        <v>104</v>
      </c>
      <c r="H17" s="75" t="str">
        <f aca="false">G17&amp;" ("&amp;F17&amp;")"</f>
        <v>Automatic (A)</v>
      </c>
      <c r="I17" s="29"/>
    </row>
    <row r="18" customFormat="false" ht="17.4" hidden="false" customHeight="true" outlineLevel="0" collapsed="false">
      <c r="A18" s="29"/>
      <c r="B18" s="29"/>
      <c r="C18" s="29"/>
      <c r="D18" s="29"/>
      <c r="E18" s="29"/>
      <c r="F18" s="74" t="s">
        <v>105</v>
      </c>
      <c r="G18" s="75" t="s">
        <v>106</v>
      </c>
      <c r="H18" s="75" t="str">
        <f aca="false">G18&amp;" ("&amp;F18&amp;")"</f>
        <v>User (U)</v>
      </c>
      <c r="I18" s="29"/>
    </row>
    <row r="19" customFormat="false" ht="17.4" hidden="false" customHeight="true" outlineLevel="0" collapsed="false">
      <c r="A19" s="29"/>
      <c r="B19" s="78" t="s">
        <v>107</v>
      </c>
      <c r="C19" s="78"/>
      <c r="D19" s="78"/>
      <c r="E19" s="29"/>
      <c r="F19" s="76" t="s">
        <v>108</v>
      </c>
      <c r="G19" s="77" t="s">
        <v>109</v>
      </c>
      <c r="H19" s="75" t="str">
        <f aca="false">G19&amp;" ("&amp;F19&amp;")"</f>
        <v>Irrecoverable (I)</v>
      </c>
      <c r="I19" s="29"/>
    </row>
    <row r="20" customFormat="false" ht="17.4" hidden="false" customHeight="true" outlineLevel="0" collapsed="false">
      <c r="A20" s="29"/>
      <c r="B20" s="73" t="s">
        <v>84</v>
      </c>
      <c r="C20" s="73" t="s">
        <v>85</v>
      </c>
      <c r="D20" s="73" t="s">
        <v>86</v>
      </c>
      <c r="E20" s="29"/>
      <c r="F20" s="29"/>
      <c r="G20" s="29"/>
      <c r="H20" s="29"/>
      <c r="I20" s="29"/>
    </row>
    <row r="21" customFormat="false" ht="17.4" hidden="false" customHeight="true" outlineLevel="0" collapsed="false">
      <c r="A21" s="29"/>
      <c r="B21" s="74" t="s">
        <v>87</v>
      </c>
      <c r="C21" s="75" t="s">
        <v>39</v>
      </c>
      <c r="D21" s="75" t="str">
        <f aca="false">C21&amp;" ("&amp;B21&amp;")"</f>
        <v>None (N)</v>
      </c>
      <c r="E21" s="29"/>
      <c r="F21" s="72" t="s">
        <v>110</v>
      </c>
      <c r="G21" s="72"/>
      <c r="H21" s="72"/>
      <c r="I21" s="29"/>
    </row>
    <row r="22" customFormat="false" ht="17.4" hidden="false" customHeight="true" outlineLevel="0" collapsed="false">
      <c r="A22" s="29"/>
      <c r="B22" s="76" t="s">
        <v>96</v>
      </c>
      <c r="C22" s="77" t="s">
        <v>38</v>
      </c>
      <c r="D22" s="75" t="str">
        <f aca="false">C22&amp;" ("&amp;B22&amp;")"</f>
        <v>Low (L)</v>
      </c>
      <c r="E22" s="29"/>
      <c r="F22" s="73" t="s">
        <v>84</v>
      </c>
      <c r="G22" s="73" t="s">
        <v>85</v>
      </c>
      <c r="H22" s="73" t="s">
        <v>86</v>
      </c>
      <c r="I22" s="29"/>
    </row>
    <row r="23" customFormat="false" ht="17.4" hidden="false" customHeight="true" outlineLevel="0" collapsed="false">
      <c r="A23" s="29"/>
      <c r="B23" s="74" t="s">
        <v>102</v>
      </c>
      <c r="C23" s="75" t="s">
        <v>35</v>
      </c>
      <c r="D23" s="75" t="str">
        <f aca="false">C23&amp;" ("&amp;B23&amp;")"</f>
        <v>High (H)</v>
      </c>
      <c r="E23" s="29"/>
      <c r="F23" s="74" t="s">
        <v>89</v>
      </c>
      <c r="G23" s="75" t="s">
        <v>90</v>
      </c>
      <c r="H23" s="75" t="str">
        <f aca="false">G23&amp;" ("&amp;F23&amp;")"</f>
        <v>Not Defined (X)</v>
      </c>
      <c r="I23" s="29"/>
    </row>
    <row r="24" customFormat="false" ht="17.4" hidden="false" customHeight="true" outlineLevel="0" collapsed="false">
      <c r="A24" s="29"/>
      <c r="B24" s="29"/>
      <c r="C24" s="29"/>
      <c r="D24" s="29"/>
      <c r="E24" s="29"/>
      <c r="F24" s="76" t="s">
        <v>96</v>
      </c>
      <c r="G24" s="77" t="s">
        <v>111</v>
      </c>
      <c r="H24" s="75" t="str">
        <f aca="false">G24&amp;" ("&amp;F24&amp;")"</f>
        <v>Diffuse (L)</v>
      </c>
      <c r="I24" s="29"/>
    </row>
    <row r="25" customFormat="false" ht="17.4" hidden="false" customHeight="true" outlineLevel="0" collapsed="false">
      <c r="A25" s="29"/>
      <c r="B25" s="78" t="s">
        <v>112</v>
      </c>
      <c r="C25" s="78"/>
      <c r="D25" s="78"/>
      <c r="E25" s="29"/>
      <c r="F25" s="74" t="s">
        <v>102</v>
      </c>
      <c r="G25" s="75" t="s">
        <v>113</v>
      </c>
      <c r="H25" s="75" t="str">
        <f aca="false">G25&amp;" ("&amp;F25&amp;")"</f>
        <v>Concentrated (H)</v>
      </c>
      <c r="I25" s="29"/>
    </row>
    <row r="26" customFormat="false" ht="17.4" hidden="false" customHeight="true" outlineLevel="0" collapsed="false">
      <c r="A26" s="29"/>
      <c r="B26" s="73" t="s">
        <v>84</v>
      </c>
      <c r="C26" s="73" t="s">
        <v>85</v>
      </c>
      <c r="D26" s="73" t="s">
        <v>86</v>
      </c>
      <c r="E26" s="29"/>
      <c r="F26" s="29"/>
      <c r="G26" s="29"/>
      <c r="H26" s="29"/>
      <c r="I26" s="29"/>
    </row>
    <row r="27" customFormat="false" ht="17.4" hidden="false" customHeight="true" outlineLevel="0" collapsed="false">
      <c r="A27" s="29"/>
      <c r="B27" s="74" t="s">
        <v>87</v>
      </c>
      <c r="C27" s="75" t="s">
        <v>39</v>
      </c>
      <c r="D27" s="75" t="str">
        <f aca="false">C27&amp;" ("&amp;B27&amp;")"</f>
        <v>None (N)</v>
      </c>
      <c r="E27" s="29"/>
      <c r="F27" s="72" t="s">
        <v>114</v>
      </c>
      <c r="G27" s="72"/>
      <c r="H27" s="72"/>
      <c r="I27" s="29"/>
    </row>
    <row r="28" customFormat="false" ht="17.4" hidden="false" customHeight="true" outlineLevel="0" collapsed="false">
      <c r="A28" s="29"/>
      <c r="B28" s="76" t="s">
        <v>98</v>
      </c>
      <c r="C28" s="77" t="s">
        <v>115</v>
      </c>
      <c r="D28" s="75" t="str">
        <f aca="false">C28&amp;" ("&amp;B28&amp;")"</f>
        <v>Passive (P)</v>
      </c>
      <c r="E28" s="29"/>
      <c r="F28" s="73" t="s">
        <v>84</v>
      </c>
      <c r="G28" s="73" t="s">
        <v>85</v>
      </c>
      <c r="H28" s="73" t="s">
        <v>86</v>
      </c>
      <c r="I28" s="29"/>
    </row>
    <row r="29" customFormat="false" ht="17.4" hidden="false" customHeight="true" outlineLevel="0" collapsed="false">
      <c r="A29" s="29"/>
      <c r="B29" s="74" t="s">
        <v>93</v>
      </c>
      <c r="C29" s="75" t="s">
        <v>116</v>
      </c>
      <c r="D29" s="75" t="str">
        <f aca="false">C29&amp;" ("&amp;B29&amp;")"</f>
        <v>Active (A)</v>
      </c>
      <c r="E29" s="29"/>
      <c r="F29" s="74" t="s">
        <v>89</v>
      </c>
      <c r="G29" s="75" t="s">
        <v>90</v>
      </c>
      <c r="H29" s="75" t="str">
        <f aca="false">G29&amp;" ("&amp;F29&amp;")"</f>
        <v>Not Defined (X)</v>
      </c>
      <c r="I29" s="29"/>
    </row>
    <row r="30" customFormat="false" ht="17.4" hidden="false" customHeight="true" outlineLevel="0" collapsed="false">
      <c r="A30" s="29"/>
      <c r="B30" s="29"/>
      <c r="C30" s="29"/>
      <c r="D30" s="29"/>
      <c r="E30" s="29"/>
      <c r="F30" s="74" t="s">
        <v>96</v>
      </c>
      <c r="G30" s="75" t="s">
        <v>38</v>
      </c>
      <c r="H30" s="75" t="str">
        <f aca="false">G30&amp;" ("&amp;F30&amp;")"</f>
        <v>Low (L)</v>
      </c>
      <c r="I30" s="29"/>
    </row>
    <row r="31" customFormat="false" ht="17.4" hidden="false" customHeight="true" outlineLevel="0" collapsed="false">
      <c r="A31" s="29"/>
      <c r="B31" s="78" t="s">
        <v>117</v>
      </c>
      <c r="C31" s="78"/>
      <c r="D31" s="78"/>
      <c r="E31" s="29"/>
      <c r="F31" s="76" t="s">
        <v>118</v>
      </c>
      <c r="G31" s="77" t="s">
        <v>37</v>
      </c>
      <c r="H31" s="75" t="str">
        <f aca="false">G31&amp;" ("&amp;F31&amp;")"</f>
        <v>Medium (M)</v>
      </c>
      <c r="I31" s="29"/>
    </row>
    <row r="32" customFormat="false" ht="17.4" hidden="false" customHeight="true" outlineLevel="0" collapsed="false">
      <c r="A32" s="29"/>
      <c r="B32" s="73" t="s">
        <v>84</v>
      </c>
      <c r="C32" s="73" t="s">
        <v>85</v>
      </c>
      <c r="D32" s="73" t="s">
        <v>86</v>
      </c>
      <c r="E32" s="29"/>
      <c r="F32" s="74" t="s">
        <v>102</v>
      </c>
      <c r="G32" s="75" t="s">
        <v>35</v>
      </c>
      <c r="H32" s="75" t="str">
        <f aca="false">G32&amp;" ("&amp;F32&amp;")"</f>
        <v>High (H)</v>
      </c>
      <c r="I32" s="29"/>
    </row>
    <row r="33" customFormat="false" ht="17.4" hidden="false" customHeight="true" outlineLevel="0" collapsed="false">
      <c r="A33" s="29"/>
      <c r="B33" s="74" t="s">
        <v>102</v>
      </c>
      <c r="C33" s="75" t="s">
        <v>35</v>
      </c>
      <c r="D33" s="75" t="str">
        <f aca="false">C33&amp;" ("&amp;B33&amp;")"</f>
        <v>High (H)</v>
      </c>
      <c r="E33" s="29"/>
      <c r="F33" s="29"/>
      <c r="G33" s="29"/>
      <c r="H33" s="29"/>
      <c r="I33" s="29"/>
    </row>
    <row r="34" customFormat="false" ht="17.4" hidden="false" customHeight="true" outlineLevel="0" collapsed="false">
      <c r="A34" s="29"/>
      <c r="B34" s="76" t="s">
        <v>96</v>
      </c>
      <c r="C34" s="77" t="s">
        <v>38</v>
      </c>
      <c r="D34" s="75" t="str">
        <f aca="false">C34&amp;" ("&amp;B34&amp;")"</f>
        <v>Low (L)</v>
      </c>
      <c r="E34" s="29"/>
      <c r="F34" s="72" t="s">
        <v>119</v>
      </c>
      <c r="G34" s="72"/>
      <c r="H34" s="72"/>
      <c r="I34" s="29"/>
    </row>
    <row r="35" customFormat="false" ht="17.4" hidden="false" customHeight="true" outlineLevel="0" collapsed="false">
      <c r="A35" s="29"/>
      <c r="B35" s="74" t="s">
        <v>87</v>
      </c>
      <c r="C35" s="75" t="s">
        <v>39</v>
      </c>
      <c r="D35" s="75" t="str">
        <f aca="false">C35&amp;" ("&amp;B35&amp;")"</f>
        <v>None (N)</v>
      </c>
      <c r="E35" s="29"/>
      <c r="F35" s="73" t="s">
        <v>84</v>
      </c>
      <c r="G35" s="73" t="s">
        <v>85</v>
      </c>
      <c r="H35" s="73" t="s">
        <v>86</v>
      </c>
      <c r="I35" s="29"/>
    </row>
    <row r="36" customFormat="false" ht="17.4" hidden="false" customHeight="true" outlineLevel="0" collapsed="false">
      <c r="A36" s="29"/>
      <c r="B36" s="29"/>
      <c r="C36" s="29"/>
      <c r="D36" s="29"/>
      <c r="E36" s="29"/>
      <c r="F36" s="74" t="s">
        <v>89</v>
      </c>
      <c r="G36" s="75" t="s">
        <v>90</v>
      </c>
      <c r="H36" s="75" t="str">
        <f aca="false">G36&amp;" ("&amp;F36&amp;")"</f>
        <v>Not Defined (X)</v>
      </c>
      <c r="I36" s="29"/>
    </row>
    <row r="37" customFormat="false" ht="17.4" hidden="false" customHeight="true" outlineLevel="0" collapsed="false">
      <c r="A37" s="29"/>
      <c r="B37" s="78" t="s">
        <v>120</v>
      </c>
      <c r="C37" s="78"/>
      <c r="D37" s="78"/>
      <c r="E37" s="29"/>
      <c r="F37" s="76" t="s">
        <v>121</v>
      </c>
      <c r="G37" s="77" t="s">
        <v>122</v>
      </c>
      <c r="H37" s="75" t="str">
        <f aca="false">G37&amp;" ("&amp;F37&amp;")"</f>
        <v>Low / None (Clear)</v>
      </c>
      <c r="I37" s="29"/>
    </row>
    <row r="38" customFormat="false" ht="17.4" hidden="false" customHeight="true" outlineLevel="0" collapsed="false">
      <c r="A38" s="29"/>
      <c r="B38" s="73" t="s">
        <v>84</v>
      </c>
      <c r="C38" s="73" t="s">
        <v>85</v>
      </c>
      <c r="D38" s="73" t="s">
        <v>86</v>
      </c>
      <c r="E38" s="29"/>
      <c r="F38" s="74" t="s">
        <v>123</v>
      </c>
      <c r="G38" s="75" t="s">
        <v>124</v>
      </c>
      <c r="H38" s="75" t="str">
        <f aca="false">G38&amp;" ("&amp;F38&amp;")"</f>
        <v>Moderate Urgency (Green)</v>
      </c>
      <c r="I38" s="29"/>
    </row>
    <row r="39" customFormat="false" ht="17.4" hidden="false" customHeight="true" outlineLevel="0" collapsed="false">
      <c r="A39" s="29"/>
      <c r="B39" s="74" t="s">
        <v>102</v>
      </c>
      <c r="C39" s="75" t="s">
        <v>35</v>
      </c>
      <c r="D39" s="75" t="str">
        <f aca="false">C39&amp;" ("&amp;B39&amp;")"</f>
        <v>High (H)</v>
      </c>
      <c r="E39" s="29"/>
      <c r="F39" s="74" t="s">
        <v>125</v>
      </c>
      <c r="G39" s="75" t="s">
        <v>126</v>
      </c>
      <c r="H39" s="75" t="str">
        <f aca="false">G39&amp;" ("&amp;F39&amp;")"</f>
        <v>High Urgency (Amber)</v>
      </c>
      <c r="I39" s="29"/>
    </row>
    <row r="40" customFormat="false" ht="17.4" hidden="false" customHeight="true" outlineLevel="0" collapsed="false">
      <c r="A40" s="29"/>
      <c r="B40" s="76" t="s">
        <v>96</v>
      </c>
      <c r="C40" s="77" t="s">
        <v>38</v>
      </c>
      <c r="D40" s="75" t="str">
        <f aca="false">C40&amp;" ("&amp;B40&amp;")"</f>
        <v>Low (L)</v>
      </c>
      <c r="E40" s="29"/>
      <c r="F40" s="76" t="s">
        <v>127</v>
      </c>
      <c r="G40" s="77" t="s">
        <v>128</v>
      </c>
      <c r="H40" s="75" t="str">
        <f aca="false">G40&amp;" ("&amp;F40&amp;")"</f>
        <v>Critical  / Immediate (Red)</v>
      </c>
      <c r="I40" s="29"/>
    </row>
    <row r="41" customFormat="false" ht="17.4" hidden="false" customHeight="true" outlineLevel="0" collapsed="false">
      <c r="A41" s="29"/>
      <c r="B41" s="74" t="s">
        <v>87</v>
      </c>
      <c r="C41" s="75" t="s">
        <v>39</v>
      </c>
      <c r="D41" s="75" t="str">
        <f aca="false">C41&amp;" ("&amp;B41&amp;")"</f>
        <v>None (N)</v>
      </c>
      <c r="E41" s="29"/>
      <c r="F41" s="29"/>
      <c r="G41" s="29"/>
      <c r="H41" s="29"/>
      <c r="I41" s="29"/>
    </row>
    <row r="42" customFormat="false" ht="17.4" hidden="false" customHeight="true" outlineLevel="0" collapsed="false">
      <c r="A42" s="29"/>
      <c r="B42" s="29"/>
      <c r="C42" s="29"/>
      <c r="D42" s="29"/>
      <c r="E42" s="29"/>
      <c r="F42" s="29"/>
      <c r="G42" s="29"/>
      <c r="H42" s="29"/>
      <c r="I42" s="29"/>
    </row>
    <row r="43" customFormat="false" ht="17.4" hidden="false" customHeight="true" outlineLevel="0" collapsed="false">
      <c r="A43" s="29"/>
      <c r="B43" s="78" t="s">
        <v>129</v>
      </c>
      <c r="C43" s="78"/>
      <c r="D43" s="78"/>
      <c r="E43" s="29"/>
      <c r="F43" s="29"/>
      <c r="G43" s="29"/>
      <c r="H43" s="29"/>
      <c r="I43" s="29"/>
    </row>
    <row r="44" customFormat="false" ht="17.4" hidden="false" customHeight="true" outlineLevel="0" collapsed="false">
      <c r="A44" s="29"/>
      <c r="B44" s="73" t="s">
        <v>84</v>
      </c>
      <c r="C44" s="73" t="s">
        <v>85</v>
      </c>
      <c r="D44" s="73" t="s">
        <v>86</v>
      </c>
      <c r="E44" s="29"/>
      <c r="F44" s="29"/>
      <c r="G44" s="29"/>
      <c r="H44" s="29"/>
      <c r="I44" s="29"/>
    </row>
    <row r="45" customFormat="false" ht="17.4" hidden="false" customHeight="true" outlineLevel="0" collapsed="false">
      <c r="A45" s="29"/>
      <c r="B45" s="74" t="s">
        <v>102</v>
      </c>
      <c r="C45" s="75" t="s">
        <v>35</v>
      </c>
      <c r="D45" s="75" t="str">
        <f aca="false">C45&amp;" ("&amp;B45&amp;")"</f>
        <v>High (H)</v>
      </c>
      <c r="E45" s="29"/>
      <c r="F45" s="29"/>
      <c r="G45" s="29"/>
      <c r="H45" s="29"/>
      <c r="I45" s="29"/>
    </row>
    <row r="46" customFormat="false" ht="17.4" hidden="false" customHeight="true" outlineLevel="0" collapsed="false">
      <c r="A46" s="29"/>
      <c r="B46" s="76" t="s">
        <v>96</v>
      </c>
      <c r="C46" s="77" t="s">
        <v>38</v>
      </c>
      <c r="D46" s="75" t="str">
        <f aca="false">C46&amp;" ("&amp;B46&amp;")"</f>
        <v>Low (L)</v>
      </c>
      <c r="E46" s="29"/>
      <c r="F46" s="29"/>
      <c r="G46" s="29"/>
      <c r="H46" s="29"/>
      <c r="I46" s="29"/>
    </row>
    <row r="47" customFormat="false" ht="17.4" hidden="false" customHeight="true" outlineLevel="0" collapsed="false">
      <c r="A47" s="29"/>
      <c r="B47" s="74" t="s">
        <v>87</v>
      </c>
      <c r="C47" s="75" t="s">
        <v>39</v>
      </c>
      <c r="D47" s="75" t="str">
        <f aca="false">C47&amp;" ("&amp;B47&amp;")"</f>
        <v>None (N)</v>
      </c>
      <c r="E47" s="29"/>
      <c r="F47" s="29"/>
      <c r="G47" s="29"/>
      <c r="H47" s="29"/>
      <c r="I47" s="29"/>
    </row>
    <row r="48" customFormat="false" ht="17.4" hidden="false" customHeight="true" outlineLevel="0" collapsed="false">
      <c r="A48" s="29"/>
      <c r="B48" s="29"/>
      <c r="C48" s="29"/>
      <c r="D48" s="29"/>
      <c r="E48" s="29"/>
      <c r="F48" s="29"/>
      <c r="G48" s="29"/>
      <c r="H48" s="29"/>
      <c r="I48" s="29"/>
    </row>
    <row r="49" customFormat="false" ht="17.4" hidden="false" customHeight="true" outlineLevel="0" collapsed="false">
      <c r="A49" s="29"/>
      <c r="B49" s="78" t="s">
        <v>130</v>
      </c>
      <c r="C49" s="78"/>
      <c r="D49" s="78"/>
      <c r="E49" s="29"/>
      <c r="F49" s="29"/>
      <c r="G49" s="29"/>
      <c r="H49" s="29"/>
      <c r="I49" s="29"/>
    </row>
    <row r="50" customFormat="false" ht="17.4" hidden="false" customHeight="true" outlineLevel="0" collapsed="false">
      <c r="A50" s="29"/>
      <c r="B50" s="73" t="s">
        <v>84</v>
      </c>
      <c r="C50" s="73" t="s">
        <v>85</v>
      </c>
      <c r="D50" s="73" t="s">
        <v>86</v>
      </c>
      <c r="E50" s="29"/>
      <c r="F50" s="29"/>
      <c r="G50" s="29"/>
      <c r="H50" s="29"/>
      <c r="I50" s="29"/>
    </row>
    <row r="51" customFormat="false" ht="17.4" hidden="false" customHeight="true" outlineLevel="0" collapsed="false">
      <c r="A51" s="29"/>
      <c r="B51" s="74" t="s">
        <v>102</v>
      </c>
      <c r="C51" s="75" t="s">
        <v>35</v>
      </c>
      <c r="D51" s="75" t="str">
        <f aca="false">C51&amp;" ("&amp;B51&amp;")"</f>
        <v>High (H)</v>
      </c>
      <c r="E51" s="29"/>
      <c r="F51" s="29"/>
      <c r="G51" s="29"/>
      <c r="H51" s="29"/>
      <c r="I51" s="29"/>
    </row>
    <row r="52" customFormat="false" ht="17.4" hidden="false" customHeight="true" outlineLevel="0" collapsed="false">
      <c r="A52" s="29"/>
      <c r="B52" s="76" t="s">
        <v>96</v>
      </c>
      <c r="C52" s="77" t="s">
        <v>38</v>
      </c>
      <c r="D52" s="75" t="str">
        <f aca="false">C52&amp;" ("&amp;B52&amp;")"</f>
        <v>Low (L)</v>
      </c>
      <c r="E52" s="29"/>
      <c r="F52" s="29"/>
      <c r="G52" s="29"/>
      <c r="H52" s="29"/>
      <c r="I52" s="29"/>
    </row>
    <row r="53" customFormat="false" ht="17.4" hidden="false" customHeight="true" outlineLevel="0" collapsed="false">
      <c r="A53" s="29"/>
      <c r="B53" s="74" t="s">
        <v>87</v>
      </c>
      <c r="C53" s="75" t="s">
        <v>39</v>
      </c>
      <c r="D53" s="75" t="str">
        <f aca="false">C53&amp;" ("&amp;B53&amp;")"</f>
        <v>None (N)</v>
      </c>
      <c r="E53" s="29"/>
      <c r="F53" s="29"/>
      <c r="G53" s="29"/>
      <c r="H53" s="29"/>
      <c r="I53" s="29"/>
    </row>
    <row r="54" customFormat="false" ht="17.4" hidden="false" customHeight="true" outlineLevel="0" collapsed="false">
      <c r="A54" s="29"/>
      <c r="B54" s="29"/>
      <c r="C54" s="29"/>
      <c r="D54" s="29"/>
      <c r="E54" s="29"/>
      <c r="F54" s="29"/>
      <c r="G54" s="29"/>
      <c r="H54" s="29"/>
      <c r="I54" s="29"/>
    </row>
    <row r="55" customFormat="false" ht="17.4" hidden="false" customHeight="true" outlineLevel="0" collapsed="false">
      <c r="A55" s="29"/>
      <c r="B55" s="78" t="s">
        <v>131</v>
      </c>
      <c r="C55" s="78"/>
      <c r="D55" s="78"/>
      <c r="E55" s="29"/>
      <c r="F55" s="29"/>
      <c r="G55" s="29"/>
      <c r="H55" s="29"/>
      <c r="I55" s="29"/>
    </row>
    <row r="56" customFormat="false" ht="17.4" hidden="false" customHeight="true" outlineLevel="0" collapsed="false">
      <c r="A56" s="29"/>
      <c r="B56" s="73" t="s">
        <v>84</v>
      </c>
      <c r="C56" s="73" t="s">
        <v>85</v>
      </c>
      <c r="D56" s="73" t="s">
        <v>86</v>
      </c>
      <c r="E56" s="29"/>
      <c r="F56" s="29"/>
      <c r="G56" s="29"/>
      <c r="H56" s="29"/>
      <c r="I56" s="29"/>
    </row>
    <row r="57" customFormat="false" ht="17.4" hidden="false" customHeight="true" outlineLevel="0" collapsed="false">
      <c r="A57" s="29"/>
      <c r="B57" s="74" t="s">
        <v>102</v>
      </c>
      <c r="C57" s="75" t="s">
        <v>35</v>
      </c>
      <c r="D57" s="75" t="str">
        <f aca="false">C57&amp;" ("&amp;B57&amp;")"</f>
        <v>High (H)</v>
      </c>
      <c r="E57" s="29"/>
      <c r="F57" s="29"/>
      <c r="G57" s="29"/>
      <c r="H57" s="29"/>
      <c r="I57" s="29"/>
    </row>
    <row r="58" customFormat="false" ht="17.4" hidden="false" customHeight="true" outlineLevel="0" collapsed="false">
      <c r="A58" s="29"/>
      <c r="B58" s="76" t="s">
        <v>96</v>
      </c>
      <c r="C58" s="77" t="s">
        <v>38</v>
      </c>
      <c r="D58" s="75" t="str">
        <f aca="false">C58&amp;" ("&amp;B58&amp;")"</f>
        <v>Low (L)</v>
      </c>
      <c r="E58" s="29"/>
      <c r="F58" s="29"/>
      <c r="G58" s="29"/>
      <c r="H58" s="29"/>
      <c r="I58" s="29"/>
    </row>
    <row r="59" customFormat="false" ht="17.4" hidden="false" customHeight="true" outlineLevel="0" collapsed="false">
      <c r="A59" s="29"/>
      <c r="B59" s="74" t="s">
        <v>87</v>
      </c>
      <c r="C59" s="75" t="s">
        <v>39</v>
      </c>
      <c r="D59" s="75" t="str">
        <f aca="false">C59&amp;" ("&amp;B59&amp;")"</f>
        <v>None (N)</v>
      </c>
      <c r="E59" s="29"/>
      <c r="F59" s="29"/>
      <c r="G59" s="29"/>
      <c r="H59" s="29"/>
      <c r="I59" s="29"/>
    </row>
    <row r="60" customFormat="false" ht="17.4" hidden="false" customHeight="true" outlineLevel="0" collapsed="false">
      <c r="A60" s="29"/>
      <c r="B60" s="29"/>
      <c r="C60" s="29"/>
      <c r="D60" s="29"/>
      <c r="E60" s="29"/>
      <c r="F60" s="29"/>
      <c r="G60" s="29"/>
      <c r="H60" s="29"/>
      <c r="I60" s="29"/>
    </row>
    <row r="61" customFormat="false" ht="17.4" hidden="false" customHeight="true" outlineLevel="0" collapsed="false">
      <c r="A61" s="29"/>
      <c r="B61" s="78" t="s">
        <v>132</v>
      </c>
      <c r="C61" s="78"/>
      <c r="D61" s="78"/>
      <c r="E61" s="29"/>
      <c r="F61" s="29"/>
      <c r="G61" s="29"/>
      <c r="H61" s="29"/>
      <c r="I61" s="29"/>
    </row>
    <row r="62" customFormat="false" ht="17.4" hidden="false" customHeight="true" outlineLevel="0" collapsed="false">
      <c r="A62" s="29"/>
      <c r="B62" s="73" t="s">
        <v>84</v>
      </c>
      <c r="C62" s="73" t="s">
        <v>85</v>
      </c>
      <c r="D62" s="73" t="s">
        <v>86</v>
      </c>
      <c r="E62" s="29"/>
      <c r="F62" s="29"/>
      <c r="G62" s="29"/>
      <c r="H62" s="29"/>
      <c r="I62" s="29"/>
    </row>
    <row r="63" customFormat="false" ht="17.4" hidden="false" customHeight="true" outlineLevel="0" collapsed="false">
      <c r="A63" s="29"/>
      <c r="B63" s="74" t="s">
        <v>102</v>
      </c>
      <c r="C63" s="75" t="s">
        <v>35</v>
      </c>
      <c r="D63" s="75" t="str">
        <f aca="false">C63&amp;" ("&amp;B63&amp;")"</f>
        <v>High (H)</v>
      </c>
      <c r="E63" s="29"/>
      <c r="F63" s="29"/>
      <c r="G63" s="29"/>
      <c r="H63" s="29"/>
      <c r="I63" s="29"/>
    </row>
    <row r="64" customFormat="false" ht="17.4" hidden="false" customHeight="true" outlineLevel="0" collapsed="false">
      <c r="A64" s="29"/>
      <c r="B64" s="76" t="s">
        <v>96</v>
      </c>
      <c r="C64" s="77" t="s">
        <v>38</v>
      </c>
      <c r="D64" s="75" t="str">
        <f aca="false">C64&amp;" ("&amp;B64&amp;")"</f>
        <v>Low (L)</v>
      </c>
      <c r="E64" s="29"/>
      <c r="F64" s="29"/>
      <c r="G64" s="29"/>
      <c r="H64" s="29"/>
      <c r="I64" s="29"/>
    </row>
    <row r="65" customFormat="false" ht="17.4" hidden="false" customHeight="true" outlineLevel="0" collapsed="false">
      <c r="A65" s="29"/>
      <c r="B65" s="74" t="s">
        <v>87</v>
      </c>
      <c r="C65" s="75" t="s">
        <v>39</v>
      </c>
      <c r="D65" s="75" t="str">
        <f aca="false">C65&amp;" ("&amp;B65&amp;")"</f>
        <v>None (N)</v>
      </c>
      <c r="E65" s="29"/>
      <c r="F65" s="29"/>
      <c r="G65" s="29"/>
      <c r="H65" s="29"/>
      <c r="I65" s="29"/>
    </row>
    <row r="66" customFormat="false" ht="17.4" hidden="false" customHeight="true" outlineLevel="0" collapsed="false">
      <c r="A66" s="29"/>
      <c r="B66" s="29"/>
      <c r="C66" s="29"/>
      <c r="D66" s="29"/>
      <c r="E66" s="29"/>
      <c r="F66" s="29"/>
      <c r="G66" s="29"/>
      <c r="H66" s="29"/>
      <c r="I66" s="29"/>
    </row>
    <row r="67" customFormat="false" ht="17.4" hidden="false" customHeight="true" outlineLevel="0" collapsed="false">
      <c r="A67" s="29"/>
      <c r="B67" s="78" t="s">
        <v>66</v>
      </c>
      <c r="C67" s="78"/>
      <c r="D67" s="78"/>
      <c r="E67" s="29"/>
      <c r="F67" s="29"/>
      <c r="G67" s="29"/>
      <c r="H67" s="29"/>
      <c r="I67" s="29"/>
    </row>
    <row r="68" customFormat="false" ht="17.4" hidden="false" customHeight="true" outlineLevel="0" collapsed="false">
      <c r="A68" s="29"/>
      <c r="B68" s="73" t="s">
        <v>84</v>
      </c>
      <c r="C68" s="73" t="s">
        <v>85</v>
      </c>
      <c r="D68" s="73" t="s">
        <v>86</v>
      </c>
      <c r="E68" s="30"/>
      <c r="F68" s="29"/>
      <c r="G68" s="29"/>
      <c r="H68" s="29"/>
      <c r="I68" s="29"/>
    </row>
    <row r="69" customFormat="false" ht="17.4" hidden="false" customHeight="true" outlineLevel="0" collapsed="false">
      <c r="A69" s="29"/>
      <c r="B69" s="74" t="s">
        <v>89</v>
      </c>
      <c r="C69" s="75" t="s">
        <v>90</v>
      </c>
      <c r="D69" s="75" t="str">
        <f aca="false">C69&amp;" ("&amp;B69&amp;")"</f>
        <v>Not Defined (X)</v>
      </c>
      <c r="E69" s="79"/>
      <c r="F69" s="29"/>
      <c r="G69" s="29"/>
      <c r="H69" s="29"/>
      <c r="I69" s="29"/>
    </row>
    <row r="70" customFormat="false" ht="17.4" hidden="false" customHeight="true" outlineLevel="0" collapsed="false">
      <c r="A70" s="29"/>
      <c r="B70" s="76" t="s">
        <v>93</v>
      </c>
      <c r="C70" s="77" t="s">
        <v>133</v>
      </c>
      <c r="D70" s="75" t="str">
        <f aca="false">C70&amp;" ("&amp;B70&amp;")"</f>
        <v>Attacked (A)</v>
      </c>
      <c r="E70" s="80"/>
      <c r="F70" s="29"/>
      <c r="G70" s="29"/>
      <c r="H70" s="29"/>
      <c r="I70" s="29"/>
    </row>
    <row r="71" customFormat="false" ht="17.4" hidden="false" customHeight="true" outlineLevel="0" collapsed="false">
      <c r="A71" s="29"/>
      <c r="B71" s="74" t="s">
        <v>98</v>
      </c>
      <c r="C71" s="75" t="s">
        <v>134</v>
      </c>
      <c r="D71" s="75" t="str">
        <f aca="false">C71&amp;" ("&amp;B71&amp;")"</f>
        <v>Proof of Concept (P)</v>
      </c>
      <c r="E71" s="80"/>
      <c r="F71" s="29"/>
      <c r="G71" s="29"/>
      <c r="H71" s="29"/>
      <c r="I71" s="29"/>
    </row>
    <row r="72" customFormat="false" ht="17.4" hidden="false" customHeight="true" outlineLevel="0" collapsed="false">
      <c r="A72" s="29"/>
      <c r="B72" s="76" t="s">
        <v>105</v>
      </c>
      <c r="C72" s="77" t="s">
        <v>135</v>
      </c>
      <c r="D72" s="75" t="str">
        <f aca="false">C72&amp;" ("&amp;B72&amp;")"</f>
        <v>Unreported (U)</v>
      </c>
      <c r="E72" s="79"/>
      <c r="F72" s="29"/>
      <c r="G72" s="29"/>
      <c r="H72" s="29"/>
      <c r="I72" s="29"/>
    </row>
    <row r="73" customFormat="false" ht="17.4" hidden="false" customHeight="true" outlineLevel="0" collapsed="false">
      <c r="A73" s="29"/>
      <c r="B73" s="29"/>
      <c r="C73" s="29"/>
      <c r="D73" s="29"/>
      <c r="E73" s="29"/>
      <c r="F73" s="29"/>
      <c r="G73" s="29"/>
      <c r="H73" s="29"/>
      <c r="I73" s="29"/>
    </row>
    <row r="74" customFormat="false" ht="16.4" hidden="false" customHeight="true" outlineLevel="0" collapsed="false">
      <c r="B74" s="78" t="s">
        <v>136</v>
      </c>
      <c r="C74" s="78"/>
      <c r="D74" s="78"/>
    </row>
    <row r="75" customFormat="false" ht="17.4" hidden="false" customHeight="false" outlineLevel="0" collapsed="false">
      <c r="B75" s="73" t="s">
        <v>84</v>
      </c>
      <c r="C75" s="73" t="s">
        <v>85</v>
      </c>
      <c r="D75" s="73" t="s">
        <v>86</v>
      </c>
    </row>
    <row r="76" customFormat="false" ht="17.4" hidden="false" customHeight="false" outlineLevel="0" collapsed="false">
      <c r="B76" s="74" t="s">
        <v>137</v>
      </c>
      <c r="C76" s="75" t="s">
        <v>138</v>
      </c>
      <c r="D76" s="75" t="str">
        <f aca="false">C76&amp;" ("&amp;B76&amp;")"</f>
        <v>Safety (S)</v>
      </c>
    </row>
    <row r="77" customFormat="false" ht="17.4" hidden="false" customHeight="false" outlineLevel="0" collapsed="false">
      <c r="B77" s="74" t="s">
        <v>102</v>
      </c>
      <c r="C77" s="75" t="s">
        <v>35</v>
      </c>
      <c r="D77" s="75" t="str">
        <f aca="false">C77&amp;" ("&amp;B77&amp;")"</f>
        <v>High (H)</v>
      </c>
    </row>
    <row r="78" customFormat="false" ht="17.4" hidden="false" customHeight="false" outlineLevel="0" collapsed="false">
      <c r="B78" s="76" t="s">
        <v>96</v>
      </c>
      <c r="C78" s="77" t="s">
        <v>38</v>
      </c>
      <c r="D78" s="75" t="str">
        <f aca="false">C78&amp;" ("&amp;B78&amp;")"</f>
        <v>Low (L)</v>
      </c>
    </row>
    <row r="79" customFormat="false" ht="17.4" hidden="false" customHeight="false" outlineLevel="0" collapsed="false">
      <c r="B79" s="74" t="s">
        <v>87</v>
      </c>
      <c r="C79" s="75" t="s">
        <v>39</v>
      </c>
      <c r="D79" s="75" t="str">
        <f aca="false">C79&amp;" ("&amp;B79&amp;")"</f>
        <v>None (N)</v>
      </c>
    </row>
    <row r="80" customFormat="false" ht="17.4" hidden="false" customHeight="false" outlineLevel="0" collapsed="false">
      <c r="B80" s="29"/>
      <c r="C80" s="29"/>
      <c r="D80" s="29"/>
    </row>
    <row r="81" customFormat="false" ht="16.4" hidden="false" customHeight="true" outlineLevel="0" collapsed="false">
      <c r="B81" s="78" t="s">
        <v>139</v>
      </c>
      <c r="C81" s="78"/>
      <c r="D81" s="78"/>
    </row>
    <row r="82" customFormat="false" ht="17.4" hidden="false" customHeight="false" outlineLevel="0" collapsed="false">
      <c r="B82" s="73" t="s">
        <v>84</v>
      </c>
      <c r="C82" s="73" t="s">
        <v>85</v>
      </c>
      <c r="D82" s="73" t="s">
        <v>86</v>
      </c>
    </row>
    <row r="83" customFormat="false" ht="17.4" hidden="false" customHeight="false" outlineLevel="0" collapsed="false">
      <c r="B83" s="74" t="s">
        <v>137</v>
      </c>
      <c r="C83" s="75" t="s">
        <v>138</v>
      </c>
      <c r="D83" s="75" t="str">
        <f aca="false">C83&amp;" ("&amp;B83&amp;")"</f>
        <v>Safety (S)</v>
      </c>
    </row>
    <row r="84" customFormat="false" ht="17.4" hidden="false" customHeight="false" outlineLevel="0" collapsed="false">
      <c r="B84" s="74" t="s">
        <v>102</v>
      </c>
      <c r="C84" s="75" t="s">
        <v>35</v>
      </c>
      <c r="D84" s="75" t="str">
        <f aca="false">C84&amp;" ("&amp;B84&amp;")"</f>
        <v>High (H)</v>
      </c>
    </row>
    <row r="85" customFormat="false" ht="17.4" hidden="false" customHeight="false" outlineLevel="0" collapsed="false">
      <c r="B85" s="76" t="s">
        <v>96</v>
      </c>
      <c r="C85" s="77" t="s">
        <v>38</v>
      </c>
      <c r="D85" s="75" t="str">
        <f aca="false">C85&amp;" ("&amp;B85&amp;")"</f>
        <v>Low (L)</v>
      </c>
    </row>
    <row r="86" customFormat="false" ht="17.4" hidden="false" customHeight="false" outlineLevel="0" collapsed="false">
      <c r="B86" s="74" t="s">
        <v>87</v>
      </c>
      <c r="C86" s="75" t="s">
        <v>39</v>
      </c>
      <c r="D86" s="75" t="str">
        <f aca="false">C86&amp;" ("&amp;B86&amp;")"</f>
        <v>None (N)</v>
      </c>
    </row>
    <row r="87" customFormat="false" ht="17.4" hidden="false" customHeight="false" outlineLevel="0" collapsed="false">
      <c r="B87" s="29"/>
      <c r="C87" s="29"/>
      <c r="D87" s="29"/>
    </row>
  </sheetData>
  <mergeCells count="21">
    <mergeCell ref="B2:D2"/>
    <mergeCell ref="F2:H2"/>
    <mergeCell ref="J2:L2"/>
    <mergeCell ref="F8:H8"/>
    <mergeCell ref="B9:D9"/>
    <mergeCell ref="B14:D14"/>
    <mergeCell ref="F14:H14"/>
    <mergeCell ref="B19:D19"/>
    <mergeCell ref="F21:H21"/>
    <mergeCell ref="B25:D25"/>
    <mergeCell ref="F27:H27"/>
    <mergeCell ref="B31:D31"/>
    <mergeCell ref="F34:H34"/>
    <mergeCell ref="B37:D37"/>
    <mergeCell ref="B43:D43"/>
    <mergeCell ref="B49:D49"/>
    <mergeCell ref="B55:D55"/>
    <mergeCell ref="B61:D61"/>
    <mergeCell ref="B67:D67"/>
    <mergeCell ref="B74:D74"/>
    <mergeCell ref="B81:D8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H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9" activeCellId="0" sqref="I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7" width="14.88"/>
    <col collapsed="false" customWidth="true" hidden="false" outlineLevel="0" max="3" min="3" style="1" width="18.08"/>
  </cols>
  <sheetData>
    <row r="1" customFormat="false" ht="12.8" hidden="false" customHeight="false" outlineLevel="0" collapsed="false">
      <c r="A1" s="29"/>
      <c r="B1" s="81" t="str">
        <f aca="false">IF(EnableCharacterization="Yes (Y)","Y","N")</f>
        <v>N</v>
      </c>
      <c r="C1" s="29"/>
      <c r="D1" s="29"/>
      <c r="E1" s="29"/>
      <c r="F1" s="29"/>
      <c r="G1" s="29"/>
      <c r="H1" s="29"/>
    </row>
    <row r="2" customFormat="false" ht="12.8" hidden="false" customHeight="false" outlineLevel="0" collapsed="false">
      <c r="A2" s="29"/>
      <c r="B2" s="82"/>
      <c r="C2" s="29"/>
      <c r="D2" s="29"/>
      <c r="E2" s="29"/>
      <c r="F2" s="29"/>
      <c r="G2" s="29"/>
      <c r="H2" s="29"/>
    </row>
    <row r="3" customFormat="false" ht="16.4" hidden="false" customHeight="true" outlineLevel="0" collapsed="false">
      <c r="A3" s="29"/>
      <c r="B3" s="72" t="s">
        <v>53</v>
      </c>
      <c r="C3" s="72"/>
      <c r="D3" s="72"/>
      <c r="E3" s="29"/>
      <c r="F3" s="29"/>
      <c r="G3" s="29"/>
      <c r="H3" s="29"/>
    </row>
    <row r="4" customFormat="false" ht="13.8" hidden="false" customHeight="false" outlineLevel="0" collapsed="false">
      <c r="A4" s="29"/>
      <c r="B4" s="73" t="s">
        <v>92</v>
      </c>
      <c r="C4" s="73" t="s">
        <v>95</v>
      </c>
      <c r="D4" s="73" t="s">
        <v>140</v>
      </c>
      <c r="E4" s="29"/>
      <c r="F4" s="29"/>
      <c r="G4" s="29"/>
      <c r="H4" s="29"/>
    </row>
    <row r="5" customFormat="false" ht="16.4" hidden="false" customHeight="false" outlineLevel="0" collapsed="false">
      <c r="A5" s="29"/>
      <c r="B5" s="83" t="n">
        <f aca="false">COUNTIF(Character_MAV,"Yes (Y)")</f>
        <v>2</v>
      </c>
      <c r="C5" s="83" t="n">
        <f aca="false">COUNTIF(Character_MAV,"No (N)")</f>
        <v>1</v>
      </c>
      <c r="D5" s="84" t="n">
        <f aca="false">B5/SUM(B5:C5)</f>
        <v>0.666666666666667</v>
      </c>
      <c r="E5" s="29"/>
      <c r="F5" s="29"/>
      <c r="G5" s="29"/>
      <c r="H5" s="29"/>
    </row>
    <row r="6" customFormat="false" ht="13.8" hidden="false" customHeight="false" outlineLevel="0" collapsed="false">
      <c r="A6" s="29"/>
      <c r="B6" s="85" t="s">
        <v>141</v>
      </c>
      <c r="C6" s="73" t="s">
        <v>142</v>
      </c>
      <c r="D6" s="86" t="n">
        <v>1</v>
      </c>
      <c r="E6" s="86" t="n">
        <v>0.6</v>
      </c>
      <c r="F6" s="86" t="n">
        <v>0.3</v>
      </c>
      <c r="G6" s="86" t="n">
        <v>0</v>
      </c>
      <c r="H6" s="29"/>
    </row>
    <row r="7" customFormat="false" ht="12.8" hidden="false" customHeight="false" outlineLevel="0" collapsed="false">
      <c r="A7" s="29"/>
      <c r="B7" s="87" t="str">
        <f aca="false">_LOOKUPS!D4</f>
        <v>Network (N)</v>
      </c>
      <c r="C7" s="87" t="str">
        <f aca="false">IF($B$1="N",$B7,IF($D$5&gt;=$D$6,$D7,IF($D$5&gt;=$E$6,$E7,IF($D$5&gt;=$F$6,$F7,$G7))))</f>
        <v>Network (N)</v>
      </c>
      <c r="D7" s="36" t="s">
        <v>143</v>
      </c>
      <c r="E7" s="36" t="s">
        <v>144</v>
      </c>
      <c r="F7" s="36" t="s">
        <v>145</v>
      </c>
      <c r="G7" s="88" t="s">
        <v>146</v>
      </c>
      <c r="H7" s="29"/>
    </row>
    <row r="8" customFormat="false" ht="12.8" hidden="false" customHeight="false" outlineLevel="0" collapsed="false">
      <c r="A8" s="29"/>
      <c r="B8" s="87" t="str">
        <f aca="false">_LOOKUPS!D5</f>
        <v>Adjacent (A)</v>
      </c>
      <c r="C8" s="87" t="str">
        <f aca="false">IF($B$1="N",$B8,IF($D$5&gt;=$D$6,$D8,IF($D$5&gt;=$E$6,$E8,IF($D$5&gt;=$F$6,$F8,$G8))))</f>
        <v>Adjacent (A)</v>
      </c>
      <c r="D8" s="36" t="s">
        <v>143</v>
      </c>
      <c r="E8" s="36" t="s">
        <v>144</v>
      </c>
      <c r="F8" s="36" t="s">
        <v>145</v>
      </c>
      <c r="G8" s="36" t="s">
        <v>145</v>
      </c>
      <c r="H8" s="29"/>
    </row>
    <row r="9" customFormat="false" ht="12.8" hidden="false" customHeight="false" outlineLevel="0" collapsed="false">
      <c r="A9" s="29"/>
      <c r="B9" s="87" t="str">
        <f aca="false">_LOOKUPS!D6</f>
        <v>Local (L)</v>
      </c>
      <c r="C9" s="87" t="str">
        <f aca="false">IF($B$1="N",$B9,IF($D$5&gt;=$D$6,$D9,IF($D$5&gt;=$E$6,$E9,IF($D$5&gt;=$F$6,$F9,$G9))))</f>
        <v>Local (L)</v>
      </c>
      <c r="D9" s="36" t="s">
        <v>143</v>
      </c>
      <c r="E9" s="36" t="s">
        <v>143</v>
      </c>
      <c r="F9" s="36" t="s">
        <v>144</v>
      </c>
      <c r="G9" s="36" t="s">
        <v>144</v>
      </c>
      <c r="H9" s="29"/>
    </row>
    <row r="10" customFormat="false" ht="12.8" hidden="false" customHeight="false" outlineLevel="0" collapsed="false">
      <c r="A10" s="29"/>
      <c r="B10" s="87" t="str">
        <f aca="false">_LOOKUPS!D7</f>
        <v>Physical (P)</v>
      </c>
      <c r="C10" s="87" t="str">
        <f aca="false">IF($B$1="N",$B10,IF($D$5&gt;=$D$6,$D10,IF($D$5&gt;=$E$6,$E10,IF($D$5&gt;=$F$6,$F10,$G10))))</f>
        <v>Physical (P)</v>
      </c>
      <c r="D10" s="36" t="s">
        <v>143</v>
      </c>
      <c r="E10" s="36" t="s">
        <v>143</v>
      </c>
      <c r="F10" s="36" t="s">
        <v>143</v>
      </c>
      <c r="G10" s="36" t="s">
        <v>143</v>
      </c>
      <c r="H10" s="29"/>
    </row>
    <row r="11" customFormat="false" ht="12.8" hidden="false" customHeight="false" outlineLevel="0" collapsed="false">
      <c r="A11" s="29"/>
      <c r="B11" s="29"/>
      <c r="C11" s="29"/>
      <c r="D11" s="29"/>
      <c r="E11" s="29"/>
      <c r="F11" s="29"/>
      <c r="G11" s="29"/>
      <c r="H11" s="29"/>
    </row>
    <row r="12" customFormat="false" ht="16.4" hidden="false" customHeight="true" outlineLevel="0" collapsed="false">
      <c r="A12" s="29"/>
      <c r="B12" s="89" t="s">
        <v>54</v>
      </c>
      <c r="C12" s="89"/>
      <c r="D12" s="29"/>
      <c r="E12" s="29"/>
      <c r="F12" s="29"/>
      <c r="G12" s="29"/>
      <c r="H12" s="29"/>
    </row>
    <row r="13" customFormat="false" ht="13.8" hidden="false" customHeight="false" outlineLevel="0" collapsed="false">
      <c r="A13" s="29"/>
      <c r="B13" s="73" t="s">
        <v>92</v>
      </c>
      <c r="C13" s="73" t="s">
        <v>95</v>
      </c>
      <c r="D13" s="73" t="s">
        <v>140</v>
      </c>
      <c r="E13" s="29"/>
      <c r="F13" s="29"/>
      <c r="G13" s="29"/>
      <c r="H13" s="29"/>
    </row>
    <row r="14" customFormat="false" ht="16.4" hidden="false" customHeight="false" outlineLevel="0" collapsed="false">
      <c r="A14" s="29"/>
      <c r="B14" s="83" t="n">
        <f aca="false">COUNTIF(Character_MAC,"Yes (Y)")</f>
        <v>0</v>
      </c>
      <c r="C14" s="83" t="n">
        <f aca="false">COUNTIF(Character_MAC,"No (N)")</f>
        <v>2</v>
      </c>
      <c r="D14" s="84" t="n">
        <f aca="false">B14/SUM(B14:C14)</f>
        <v>0</v>
      </c>
      <c r="E14" s="29"/>
      <c r="F14" s="29"/>
      <c r="G14" s="29"/>
      <c r="H14" s="29"/>
    </row>
    <row r="15" customFormat="false" ht="13.8" hidden="false" customHeight="false" outlineLevel="0" collapsed="false">
      <c r="A15" s="29"/>
      <c r="B15" s="85" t="s">
        <v>84</v>
      </c>
      <c r="C15" s="73" t="s">
        <v>86</v>
      </c>
      <c r="D15" s="86" t="n">
        <v>1</v>
      </c>
      <c r="E15" s="86" t="n">
        <v>0.6</v>
      </c>
      <c r="F15" s="86" t="n">
        <v>0.3</v>
      </c>
      <c r="G15" s="86" t="n">
        <v>0</v>
      </c>
      <c r="H15" s="29"/>
    </row>
    <row r="16" customFormat="false" ht="12.8" hidden="false" customHeight="false" outlineLevel="0" collapsed="false">
      <c r="A16" s="29"/>
      <c r="B16" s="87" t="str">
        <f aca="false">_LOOKUPS!D11</f>
        <v>Low (L)</v>
      </c>
      <c r="C16" s="87" t="str">
        <f aca="false">IF($B$1="N",$B16,IF($D$14&gt;=$D$15,$D16,IF($D$14&gt;=$E$15,$E16,IF($D$14&gt;=$F$15,$F16,$G16))))</f>
        <v>Low (L)</v>
      </c>
      <c r="D16" s="36" t="s">
        <v>147</v>
      </c>
      <c r="E16" s="36" t="s">
        <v>147</v>
      </c>
      <c r="F16" s="36" t="s">
        <v>148</v>
      </c>
      <c r="G16" s="36" t="s">
        <v>148</v>
      </c>
      <c r="H16" s="29"/>
    </row>
    <row r="17" customFormat="false" ht="12.8" hidden="false" customHeight="false" outlineLevel="0" collapsed="false">
      <c r="A17" s="29"/>
      <c r="B17" s="87" t="str">
        <f aca="false">_LOOKUPS!D12</f>
        <v>High (H)</v>
      </c>
      <c r="C17" s="87" t="str">
        <f aca="false">IF($B$1="N",$B17,IF($D$14&gt;=$D$15,$D17,IF($D$14&gt;=$E$15,$E17,IF($D$14&gt;=$F$15,$F17,$G17))))</f>
        <v>High (H)</v>
      </c>
      <c r="D17" s="36" t="s">
        <v>147</v>
      </c>
      <c r="E17" s="36" t="s">
        <v>147</v>
      </c>
      <c r="F17" s="36" t="s">
        <v>147</v>
      </c>
      <c r="G17" s="36" t="s">
        <v>147</v>
      </c>
      <c r="H17" s="29"/>
    </row>
    <row r="18" customFormat="false" ht="12.8" hidden="false" customHeight="false" outlineLevel="0" collapsed="false">
      <c r="A18" s="29"/>
      <c r="B18" s="82"/>
      <c r="C18" s="29"/>
      <c r="D18" s="29"/>
      <c r="E18" s="29"/>
      <c r="F18" s="29"/>
      <c r="G18" s="29"/>
      <c r="H18" s="29"/>
    </row>
    <row r="19" customFormat="false" ht="16.4" hidden="false" customHeight="true" outlineLevel="0" collapsed="false">
      <c r="A19" s="29"/>
      <c r="B19" s="89" t="s">
        <v>55</v>
      </c>
      <c r="C19" s="89"/>
    </row>
    <row r="20" customFormat="false" ht="13.8" hidden="false" customHeight="false" outlineLevel="0" collapsed="false">
      <c r="A20" s="29"/>
      <c r="B20" s="85" t="s">
        <v>84</v>
      </c>
      <c r="C20" s="73" t="s">
        <v>86</v>
      </c>
    </row>
    <row r="21" customFormat="false" ht="12.8" hidden="false" customHeight="false" outlineLevel="0" collapsed="false">
      <c r="A21" s="29"/>
      <c r="B21" s="75" t="s">
        <v>87</v>
      </c>
      <c r="C21" s="75" t="e">
        <f aca="false">#REF!&amp;" ("&amp;B21&amp;")"</f>
        <v>#REF!</v>
      </c>
    </row>
    <row r="22" customFormat="false" ht="12.8" hidden="false" customHeight="false" outlineLevel="0" collapsed="false">
      <c r="A22" s="29"/>
      <c r="B22" s="77" t="s">
        <v>98</v>
      </c>
      <c r="C22" s="75" t="e">
        <f aca="false">#REF!&amp;" ("&amp;B22&amp;")"</f>
        <v>#REF!</v>
      </c>
    </row>
    <row r="23" customFormat="false" ht="12.8" hidden="false" customHeight="false" outlineLevel="0" collapsed="false">
      <c r="A23" s="29"/>
      <c r="B23" s="82"/>
      <c r="C23" s="29"/>
    </row>
    <row r="24" customFormat="false" ht="16.4" hidden="false" customHeight="true" outlineLevel="0" collapsed="false">
      <c r="A24" s="29"/>
      <c r="B24" s="89" t="s">
        <v>107</v>
      </c>
      <c r="C24" s="89"/>
    </row>
    <row r="25" customFormat="false" ht="13.8" hidden="false" customHeight="false" outlineLevel="0" collapsed="false">
      <c r="A25" s="29"/>
      <c r="B25" s="85" t="s">
        <v>84</v>
      </c>
      <c r="C25" s="73" t="s">
        <v>86</v>
      </c>
    </row>
    <row r="26" customFormat="false" ht="12.8" hidden="false" customHeight="false" outlineLevel="0" collapsed="false">
      <c r="A26" s="29"/>
      <c r="B26" s="75" t="s">
        <v>87</v>
      </c>
      <c r="C26" s="75" t="e">
        <f aca="false">#REF!&amp;" ("&amp;B26&amp;")"</f>
        <v>#REF!</v>
      </c>
    </row>
    <row r="27" customFormat="false" ht="12.8" hidden="false" customHeight="false" outlineLevel="0" collapsed="false">
      <c r="A27" s="29"/>
      <c r="B27" s="77" t="s">
        <v>96</v>
      </c>
      <c r="C27" s="75" t="e">
        <f aca="false">#REF!&amp;" ("&amp;B27&amp;")"</f>
        <v>#REF!</v>
      </c>
    </row>
    <row r="28" customFormat="false" ht="12.8" hidden="false" customHeight="false" outlineLevel="0" collapsed="false">
      <c r="A28" s="29"/>
      <c r="B28" s="75" t="s">
        <v>102</v>
      </c>
      <c r="C28" s="75" t="e">
        <f aca="false">#REF!&amp;" ("&amp;B28&amp;")"</f>
        <v>#REF!</v>
      </c>
    </row>
    <row r="29" customFormat="false" ht="12.8" hidden="false" customHeight="false" outlineLevel="0" collapsed="false">
      <c r="A29" s="29"/>
      <c r="B29" s="82"/>
      <c r="C29" s="29"/>
    </row>
    <row r="30" customFormat="false" ht="16.4" hidden="false" customHeight="true" outlineLevel="0" collapsed="false">
      <c r="A30" s="29"/>
      <c r="B30" s="89" t="s">
        <v>112</v>
      </c>
      <c r="C30" s="89"/>
    </row>
    <row r="31" customFormat="false" ht="13.8" hidden="false" customHeight="false" outlineLevel="0" collapsed="false">
      <c r="A31" s="29"/>
      <c r="B31" s="85" t="s">
        <v>84</v>
      </c>
      <c r="C31" s="73" t="s">
        <v>86</v>
      </c>
    </row>
    <row r="32" customFormat="false" ht="12.8" hidden="false" customHeight="false" outlineLevel="0" collapsed="false">
      <c r="A32" s="29"/>
      <c r="B32" s="75" t="s">
        <v>87</v>
      </c>
      <c r="C32" s="75" t="e">
        <f aca="false">#REF!&amp;" ("&amp;B32&amp;")"</f>
        <v>#REF!</v>
      </c>
    </row>
    <row r="33" customFormat="false" ht="12.8" hidden="false" customHeight="false" outlineLevel="0" collapsed="false">
      <c r="A33" s="29"/>
      <c r="B33" s="77" t="s">
        <v>98</v>
      </c>
      <c r="C33" s="75" t="e">
        <f aca="false">#REF!&amp;" ("&amp;B33&amp;")"</f>
        <v>#REF!</v>
      </c>
    </row>
    <row r="34" customFormat="false" ht="12.8" hidden="false" customHeight="false" outlineLevel="0" collapsed="false">
      <c r="A34" s="29"/>
      <c r="B34" s="75" t="s">
        <v>93</v>
      </c>
      <c r="C34" s="75" t="e">
        <f aca="false">#REF!&amp;" ("&amp;B34&amp;")"</f>
        <v>#REF!</v>
      </c>
    </row>
    <row r="35" customFormat="false" ht="12.8" hidden="false" customHeight="false" outlineLevel="0" collapsed="false">
      <c r="A35" s="29"/>
      <c r="B35" s="82"/>
      <c r="C35" s="29"/>
    </row>
    <row r="36" customFormat="false" ht="16.4" hidden="false" customHeight="true" outlineLevel="0" collapsed="false">
      <c r="A36" s="29"/>
      <c r="B36" s="89" t="s">
        <v>117</v>
      </c>
      <c r="C36" s="89"/>
    </row>
    <row r="37" customFormat="false" ht="13.8" hidden="false" customHeight="false" outlineLevel="0" collapsed="false">
      <c r="A37" s="29"/>
      <c r="B37" s="85" t="s">
        <v>84</v>
      </c>
      <c r="C37" s="73" t="s">
        <v>86</v>
      </c>
    </row>
    <row r="38" customFormat="false" ht="12.8" hidden="false" customHeight="false" outlineLevel="0" collapsed="false">
      <c r="A38" s="29"/>
      <c r="B38" s="75" t="s">
        <v>102</v>
      </c>
      <c r="C38" s="75" t="e">
        <f aca="false">#REF!&amp;" ("&amp;B38&amp;")"</f>
        <v>#REF!</v>
      </c>
    </row>
    <row r="39" customFormat="false" ht="12.8" hidden="false" customHeight="false" outlineLevel="0" collapsed="false">
      <c r="A39" s="29"/>
      <c r="B39" s="77" t="s">
        <v>96</v>
      </c>
      <c r="C39" s="75" t="e">
        <f aca="false">#REF!&amp;" ("&amp;B39&amp;")"</f>
        <v>#REF!</v>
      </c>
    </row>
    <row r="40" customFormat="false" ht="12.8" hidden="false" customHeight="false" outlineLevel="0" collapsed="false">
      <c r="A40" s="29"/>
      <c r="B40" s="75" t="s">
        <v>87</v>
      </c>
      <c r="C40" s="75" t="e">
        <f aca="false">#REF!&amp;" ("&amp;B40&amp;")"</f>
        <v>#REF!</v>
      </c>
    </row>
    <row r="41" customFormat="false" ht="12.8" hidden="false" customHeight="false" outlineLevel="0" collapsed="false">
      <c r="A41" s="29"/>
      <c r="B41" s="82"/>
      <c r="C41" s="29"/>
    </row>
    <row r="42" customFormat="false" ht="16.4" hidden="false" customHeight="true" outlineLevel="0" collapsed="false">
      <c r="A42" s="29"/>
      <c r="B42" s="89" t="s">
        <v>120</v>
      </c>
      <c r="C42" s="89"/>
    </row>
    <row r="43" customFormat="false" ht="13.8" hidden="false" customHeight="false" outlineLevel="0" collapsed="false">
      <c r="A43" s="29"/>
      <c r="B43" s="85" t="s">
        <v>84</v>
      </c>
      <c r="C43" s="73" t="s">
        <v>86</v>
      </c>
    </row>
    <row r="44" customFormat="false" ht="12.8" hidden="false" customHeight="false" outlineLevel="0" collapsed="false">
      <c r="A44" s="29"/>
      <c r="B44" s="75" t="s">
        <v>102</v>
      </c>
      <c r="C44" s="75" t="e">
        <f aca="false">#REF!&amp;" ("&amp;B44&amp;")"</f>
        <v>#REF!</v>
      </c>
    </row>
    <row r="45" customFormat="false" ht="12.8" hidden="false" customHeight="false" outlineLevel="0" collapsed="false">
      <c r="A45" s="29"/>
      <c r="B45" s="77" t="s">
        <v>96</v>
      </c>
      <c r="C45" s="75" t="e">
        <f aca="false">#REF!&amp;" ("&amp;B45&amp;")"</f>
        <v>#REF!</v>
      </c>
    </row>
    <row r="46" customFormat="false" ht="12.8" hidden="false" customHeight="false" outlineLevel="0" collapsed="false">
      <c r="A46" s="29"/>
      <c r="B46" s="75" t="s">
        <v>87</v>
      </c>
      <c r="C46" s="75" t="e">
        <f aca="false">#REF!&amp;" ("&amp;B46&amp;")"</f>
        <v>#REF!</v>
      </c>
    </row>
    <row r="47" customFormat="false" ht="12.8" hidden="false" customHeight="false" outlineLevel="0" collapsed="false">
      <c r="A47" s="29"/>
      <c r="B47" s="82"/>
      <c r="C47" s="29"/>
    </row>
    <row r="48" customFormat="false" ht="16.4" hidden="false" customHeight="true" outlineLevel="0" collapsed="false">
      <c r="A48" s="29"/>
      <c r="B48" s="89" t="s">
        <v>129</v>
      </c>
      <c r="C48" s="89"/>
    </row>
    <row r="49" customFormat="false" ht="13.8" hidden="false" customHeight="false" outlineLevel="0" collapsed="false">
      <c r="A49" s="29"/>
      <c r="B49" s="85" t="s">
        <v>84</v>
      </c>
      <c r="C49" s="73" t="s">
        <v>86</v>
      </c>
    </row>
    <row r="50" customFormat="false" ht="12.8" hidden="false" customHeight="false" outlineLevel="0" collapsed="false">
      <c r="A50" s="29"/>
      <c r="B50" s="75" t="s">
        <v>102</v>
      </c>
      <c r="C50" s="75" t="e">
        <f aca="false">#REF!&amp;" ("&amp;B50&amp;")"</f>
        <v>#REF!</v>
      </c>
    </row>
    <row r="51" customFormat="false" ht="12.8" hidden="false" customHeight="false" outlineLevel="0" collapsed="false">
      <c r="A51" s="29"/>
      <c r="B51" s="77" t="s">
        <v>96</v>
      </c>
      <c r="C51" s="75" t="e">
        <f aca="false">#REF!&amp;" ("&amp;B51&amp;")"</f>
        <v>#REF!</v>
      </c>
    </row>
    <row r="52" customFormat="false" ht="12.8" hidden="false" customHeight="false" outlineLevel="0" collapsed="false">
      <c r="A52" s="29"/>
      <c r="B52" s="75" t="s">
        <v>87</v>
      </c>
      <c r="C52" s="75" t="e">
        <f aca="false">#REF!&amp;" ("&amp;B52&amp;")"</f>
        <v>#REF!</v>
      </c>
    </row>
    <row r="53" customFormat="false" ht="12.8" hidden="false" customHeight="false" outlineLevel="0" collapsed="false">
      <c r="A53" s="29"/>
      <c r="B53" s="82"/>
      <c r="C53" s="29"/>
    </row>
    <row r="54" customFormat="false" ht="16.4" hidden="false" customHeight="true" outlineLevel="0" collapsed="false">
      <c r="A54" s="29"/>
      <c r="B54" s="89" t="s">
        <v>130</v>
      </c>
      <c r="C54" s="89"/>
    </row>
    <row r="55" customFormat="false" ht="13.8" hidden="false" customHeight="false" outlineLevel="0" collapsed="false">
      <c r="A55" s="29"/>
      <c r="B55" s="85" t="s">
        <v>84</v>
      </c>
      <c r="C55" s="73" t="s">
        <v>86</v>
      </c>
    </row>
    <row r="56" customFormat="false" ht="12.8" hidden="false" customHeight="false" outlineLevel="0" collapsed="false">
      <c r="A56" s="29"/>
      <c r="B56" s="75" t="s">
        <v>102</v>
      </c>
      <c r="C56" s="75" t="e">
        <f aca="false">#REF!&amp;" ("&amp;B56&amp;")"</f>
        <v>#REF!</v>
      </c>
    </row>
    <row r="57" customFormat="false" ht="12.8" hidden="false" customHeight="false" outlineLevel="0" collapsed="false">
      <c r="A57" s="29"/>
      <c r="B57" s="77" t="s">
        <v>96</v>
      </c>
      <c r="C57" s="75" t="e">
        <f aca="false">#REF!&amp;" ("&amp;B57&amp;")"</f>
        <v>#REF!</v>
      </c>
    </row>
    <row r="58" customFormat="false" ht="12.8" hidden="false" customHeight="false" outlineLevel="0" collapsed="false">
      <c r="A58" s="29"/>
      <c r="B58" s="75" t="s">
        <v>87</v>
      </c>
      <c r="C58" s="75" t="e">
        <f aca="false">#REF!&amp;" ("&amp;B58&amp;")"</f>
        <v>#REF!</v>
      </c>
    </row>
    <row r="59" customFormat="false" ht="12.8" hidden="false" customHeight="false" outlineLevel="0" collapsed="false">
      <c r="A59" s="29"/>
      <c r="B59" s="82"/>
      <c r="C59" s="29"/>
    </row>
    <row r="60" customFormat="false" ht="16.4" hidden="false" customHeight="true" outlineLevel="0" collapsed="false">
      <c r="A60" s="29"/>
      <c r="B60" s="89" t="s">
        <v>131</v>
      </c>
      <c r="C60" s="89"/>
    </row>
    <row r="61" customFormat="false" ht="13.8" hidden="false" customHeight="false" outlineLevel="0" collapsed="false">
      <c r="A61" s="29"/>
      <c r="B61" s="85" t="s">
        <v>84</v>
      </c>
      <c r="C61" s="73" t="s">
        <v>86</v>
      </c>
    </row>
    <row r="62" customFormat="false" ht="12.8" hidden="false" customHeight="false" outlineLevel="0" collapsed="false">
      <c r="A62" s="29"/>
      <c r="B62" s="75" t="s">
        <v>102</v>
      </c>
      <c r="C62" s="75" t="e">
        <f aca="false">#REF!&amp;" ("&amp;B62&amp;")"</f>
        <v>#REF!</v>
      </c>
    </row>
    <row r="63" customFormat="false" ht="12.8" hidden="false" customHeight="false" outlineLevel="0" collapsed="false">
      <c r="A63" s="29"/>
      <c r="B63" s="77" t="s">
        <v>96</v>
      </c>
      <c r="C63" s="75" t="e">
        <f aca="false">#REF!&amp;" ("&amp;B63&amp;")"</f>
        <v>#REF!</v>
      </c>
    </row>
    <row r="64" customFormat="false" ht="12.8" hidden="false" customHeight="false" outlineLevel="0" collapsed="false">
      <c r="A64" s="29"/>
      <c r="B64" s="75" t="s">
        <v>87</v>
      </c>
      <c r="C64" s="75" t="e">
        <f aca="false">#REF!&amp;" ("&amp;B64&amp;")"</f>
        <v>#REF!</v>
      </c>
    </row>
    <row r="65" customFormat="false" ht="12.8" hidden="false" customHeight="false" outlineLevel="0" collapsed="false">
      <c r="A65" s="29"/>
      <c r="B65" s="82"/>
      <c r="C65" s="29"/>
    </row>
    <row r="66" customFormat="false" ht="16.4" hidden="false" customHeight="true" outlineLevel="0" collapsed="false">
      <c r="A66" s="29"/>
      <c r="B66" s="89" t="s">
        <v>132</v>
      </c>
      <c r="C66" s="89"/>
    </row>
    <row r="67" customFormat="false" ht="13.8" hidden="false" customHeight="false" outlineLevel="0" collapsed="false">
      <c r="A67" s="29"/>
      <c r="B67" s="85" t="s">
        <v>84</v>
      </c>
      <c r="C67" s="73" t="s">
        <v>86</v>
      </c>
    </row>
    <row r="68" customFormat="false" ht="12.8" hidden="false" customHeight="false" outlineLevel="0" collapsed="false">
      <c r="A68" s="29"/>
      <c r="B68" s="75" t="s">
        <v>102</v>
      </c>
      <c r="C68" s="75" t="e">
        <f aca="false">#REF!&amp;" ("&amp;B68&amp;")"</f>
        <v>#REF!</v>
      </c>
    </row>
    <row r="69" customFormat="false" ht="12.8" hidden="false" customHeight="false" outlineLevel="0" collapsed="false">
      <c r="A69" s="29"/>
      <c r="B69" s="77" t="s">
        <v>96</v>
      </c>
      <c r="C69" s="75" t="e">
        <f aca="false">#REF!&amp;" ("&amp;B69&amp;")"</f>
        <v>#REF!</v>
      </c>
    </row>
    <row r="70" customFormat="false" ht="12.8" hidden="false" customHeight="false" outlineLevel="0" collapsed="false">
      <c r="A70" s="29"/>
      <c r="B70" s="75" t="s">
        <v>87</v>
      </c>
      <c r="C70" s="75" t="e">
        <f aca="false">#REF!&amp;" ("&amp;B70&amp;")"</f>
        <v>#REF!</v>
      </c>
    </row>
    <row r="71" customFormat="false" ht="12.8" hidden="false" customHeight="false" outlineLevel="0" collapsed="false">
      <c r="A71" s="29"/>
      <c r="B71" s="82"/>
      <c r="C71" s="29"/>
    </row>
    <row r="72" customFormat="false" ht="16.4" hidden="false" customHeight="true" outlineLevel="0" collapsed="false">
      <c r="A72" s="29"/>
      <c r="B72" s="89" t="s">
        <v>66</v>
      </c>
      <c r="C72" s="89"/>
    </row>
    <row r="73" customFormat="false" ht="13.8" hidden="false" customHeight="false" outlineLevel="0" collapsed="false">
      <c r="A73" s="29"/>
      <c r="B73" s="85" t="s">
        <v>84</v>
      </c>
      <c r="C73" s="73" t="s">
        <v>86</v>
      </c>
    </row>
    <row r="74" customFormat="false" ht="12.8" hidden="false" customHeight="false" outlineLevel="0" collapsed="false">
      <c r="A74" s="29"/>
      <c r="B74" s="75" t="s">
        <v>89</v>
      </c>
      <c r="C74" s="75" t="e">
        <f aca="false">#REF!&amp;" ("&amp;B74&amp;")"</f>
        <v>#REF!</v>
      </c>
    </row>
    <row r="75" customFormat="false" ht="12.8" hidden="false" customHeight="false" outlineLevel="0" collapsed="false">
      <c r="A75" s="29"/>
      <c r="B75" s="77" t="s">
        <v>93</v>
      </c>
      <c r="C75" s="75" t="e">
        <f aca="false">#REF!&amp;" ("&amp;B75&amp;")"</f>
        <v>#REF!</v>
      </c>
    </row>
    <row r="76" customFormat="false" ht="12.8" hidden="false" customHeight="false" outlineLevel="0" collapsed="false">
      <c r="A76" s="29"/>
      <c r="B76" s="75" t="s">
        <v>98</v>
      </c>
      <c r="C76" s="75" t="e">
        <f aca="false">#REF!&amp;" ("&amp;B76&amp;")"</f>
        <v>#REF!</v>
      </c>
    </row>
    <row r="77" customFormat="false" ht="12.8" hidden="false" customHeight="false" outlineLevel="0" collapsed="false">
      <c r="A77" s="29"/>
      <c r="B77" s="77" t="s">
        <v>105</v>
      </c>
      <c r="C77" s="75" t="e">
        <f aca="false">#REF!&amp;" ("&amp;B77&amp;")"</f>
        <v>#REF!</v>
      </c>
    </row>
    <row r="78" customFormat="false" ht="12.8" hidden="false" customHeight="false" outlineLevel="0" collapsed="false">
      <c r="A78" s="29"/>
    </row>
  </sheetData>
  <mergeCells count="12">
    <mergeCell ref="B3:D3"/>
    <mergeCell ref="B12:C12"/>
    <mergeCell ref="B19:C19"/>
    <mergeCell ref="B24:C24"/>
    <mergeCell ref="B30:C30"/>
    <mergeCell ref="B36:C36"/>
    <mergeCell ref="B42:C42"/>
    <mergeCell ref="B48:C48"/>
    <mergeCell ref="B54:C54"/>
    <mergeCell ref="B60:C60"/>
    <mergeCell ref="B66:C66"/>
    <mergeCell ref="B72:C7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424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cp:lastPrinted>2026-06-07T12:12:35Z</cp:lastPrinted>
  <dcterms:modified xsi:type="dcterms:W3CDTF">2026-06-24T15:54:38Z</dcterms:modified>
  <cp:revision>73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