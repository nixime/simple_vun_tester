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ver Page" sheetId="1" state="visible" r:id="rId3"/>
    <sheet name="Risk Summary" sheetId="2" state="visible" r:id="rId4"/>
    <sheet name="Heat Map" sheetId="3" state="visible" r:id="rId5"/>
    <sheet name="Characterization (CVSS)" sheetId="4" state="visible" r:id="rId6"/>
    <sheet name="Risk Assessment (CVSS)" sheetId="5" state="visible" r:id="rId7"/>
    <sheet name="Risk Assessment (CWSS)" sheetId="6" state="visible" r:id="rId8"/>
    <sheet name="_LOOKUPS_COMMON" sheetId="7" state="visible" r:id="rId9"/>
    <sheet name="_LOOKUPS_CVSS" sheetId="8" state="visible" r:id="rId10"/>
    <sheet name="_LOOKUPS_CWSS" sheetId="9" state="visible" r:id="rId11"/>
    <sheet name="_CHARACTERIZATION_CALCS" sheetId="10" state="visible" r:id="rId12"/>
  </sheets>
  <definedNames>
    <definedName function="false" hidden="true" localSheetId="4" name="_xlnm._FilterDatabase" vbProcedure="false">'Risk Assessment (CVSS)'!$A$2:$AM$3</definedName>
    <definedName function="false" hidden="false" name="Character_MAC" vbProcedure="false">'Characterization (CVSS)'!$D$18:$D$20</definedName>
    <definedName function="false" hidden="false" name="Character_MAV" vbProcedure="false">'Characterization (CVSS)'!$D$7:$D$10</definedName>
    <definedName function="false" hidden="false" name="EnableCharacterization" vbProcedure="false">'Characterization (CVSS)'!$D$3</definedName>
    <definedName function="false" hidden="false" name="_lookup_A" vbProcedure="false">_LOOKUPS_CVSS!$H$10:$H$12</definedName>
    <definedName function="false" hidden="false" name="_lookup_AC" vbProcedure="false">_LOOKUPS_CVSS!$D$11:$D$12</definedName>
    <definedName function="false" hidden="false" name="_lookup_AT" vbProcedure="false">_LOOKUPS_CVSS!$D$16:$D$17</definedName>
    <definedName function="false" hidden="false" name="_lookup_AV" vbProcedure="false">_LOOKUPS_CVSS!$D$4:$D$7</definedName>
    <definedName function="false" hidden="false" name="_lookup_CWE" vbProcedure="false">#REF!</definedName>
    <definedName function="false" hidden="false" name="_lookup_CWSS_AL" vbProcedure="false">_LOOKUPS_CWSS!$D$38:$D$44</definedName>
    <definedName function="false" hidden="false" name="_lookup_CWSS_AP" vbProcedure="false">_LOOKUPS_CWSS!$D$27:$D$34</definedName>
    <definedName function="false" hidden="false" name="_lookup_CWSS_AS" vbProcedure="false">_LOOKUPS_CWSS!$H$37:$H$43</definedName>
    <definedName function="false" hidden="false" name="_lookup_CWSS_AU" vbProcedure="false">#REF!</definedName>
    <definedName function="false" hidden="false" name="_lookup_CWSS_AV" vbProcedure="false">_LOOKUPS_CWSS!$H$25:$H$33</definedName>
    <definedName function="false" hidden="false" name="_lookup_CWSS_BI" vbProcedure="false">_LOOKUPS_CWSS!$L$4:$L$11</definedName>
    <definedName function="false" hidden="false" name="_lookup_CWSS_code_AL" vbProcedure="false">_LOOKUPS_CWSS!$B$38:$B$44</definedName>
    <definedName function="false" hidden="false" name="_lookup_CWSS_code_AP" vbProcedure="false">_LOOKUPS_CWSS!$B$27:$B$34</definedName>
    <definedName function="false" hidden="false" name="_lookup_CWSS_code_AS" vbProcedure="false">_LOOKUPS_CWSS!$F$37:$F$43</definedName>
    <definedName function="false" hidden="false" name="_lookup_CWSS_code_AU" vbProcedure="false">#REF!</definedName>
    <definedName function="false" hidden="false" name="_lookup_CWSS_code_AV" vbProcedure="false">_LOOKUPS_CWSS!$F$25:$F$33</definedName>
    <definedName function="false" hidden="false" name="_lookup_CWSS_code_BI" vbProcedure="false">_LOOKUPS_CWSS!$J$4:$J$11</definedName>
    <definedName function="false" hidden="false" name="_lookup_CWSS_code_DI" vbProcedure="false">_LOOKUPS_CWSS!$J$15:$J$20</definedName>
    <definedName function="false" hidden="false" name="_lookup_CWSS_code_EC" vbProcedure="false">_LOOKUPS_CWSS!$J$34:$J$42</definedName>
    <definedName function="false" hidden="false" name="_lookup_CWSS_code_EX" vbProcedure="false">_LOOKUPS_CWSS!$J$24:$J$30</definedName>
    <definedName function="false" hidden="false" name="_lookup_CWSS_code_FC" vbProcedure="false">_LOOKUPS_CWSS!$B$48:$B$53</definedName>
    <definedName function="false" hidden="false" name="_lookup_CWSS_code_IC" vbProcedure="false">_LOOKUPS_CWSS!$B$15:$B$23</definedName>
    <definedName function="false" hidden="false" name="_lookup_CWSS_code_IN" vbProcedure="false">_LOOKUPS_CWSS!$F$47:$F$55</definedName>
    <definedName function="false" hidden="false" name="_lookup_CWSS_code_P" vbProcedure="false">_LOOKUPS_CWSS!$J$46:$J$52</definedName>
    <definedName function="false" hidden="false" name="_lookup_CWSS_code_RE" vbProcedure="false">#REF!</definedName>
    <definedName function="false" hidden="false" name="_lookup_CWSS_code_RL" vbProcedure="false">_LOOKUPS_CWSS!$F$15:$F$21</definedName>
    <definedName function="false" hidden="false" name="_lookup_CWSS_code_RP" vbProcedure="false">_LOOKUPS_CWSS!$F$4:$F$11</definedName>
    <definedName function="false" hidden="false" name="_lookup_CWSS_code_SC" vbProcedure="false">_LOOKUPS_CWSS!$F$59:$F$65</definedName>
    <definedName function="false" hidden="false" name="_lookup_CWSS_code_TI" vbProcedure="false">_LOOKUPS_CWSS!$B$4:$B$11</definedName>
    <definedName function="false" hidden="false" name="_lookup_CWSS_DI" vbProcedure="false">_LOOKUPS_CWSS!$L$15:$L$20</definedName>
    <definedName function="false" hidden="false" name="_lookup_CWSS_EC" vbProcedure="false">_LOOKUPS_CWSS!$L$34:$L$42</definedName>
    <definedName function="false" hidden="false" name="_lookup_CWSS_EX" vbProcedure="false">_LOOKUPS_CWSS!$L$24:$L$30</definedName>
    <definedName function="false" hidden="false" name="_lookup_CWSS_FC" vbProcedure="false">_LOOKUPS_CWSS!$D$48:$D$53</definedName>
    <definedName function="false" hidden="false" name="_lookup_CWSS_IC" vbProcedure="false">_LOOKUPS_CWSS!$D$15:$D$23</definedName>
    <definedName function="false" hidden="false" name="_lookup_CWSS_IN" vbProcedure="false">_LOOKUPS_CWSS!$H$47:$H$55</definedName>
    <definedName function="false" hidden="false" name="_lookup_CWSS_P" vbProcedure="false">_LOOKUPS_CWSS!$L$46:$L$52</definedName>
    <definedName function="false" hidden="false" name="_lookup_CWSS_RE" vbProcedure="false">#REF!</definedName>
    <definedName function="false" hidden="false" name="_lookup_CWSS_RL" vbProcedure="false">_LOOKUPS_CWSS!$H$15:$H$21</definedName>
    <definedName function="false" hidden="false" name="_lookup_CWSS_RP" vbProcedure="false">_LOOKUPS_CWSS!$H$4:$H$11</definedName>
    <definedName function="false" hidden="false" name="_lookup_CWSS_SC" vbProcedure="false">_LOOKUPS_CWSS!$H$59:$H$65</definedName>
    <definedName function="false" hidden="false" name="_lookup_CWSS_TI" vbProcedure="false">_LOOKUPS_CWSS!$D$4:$D$11</definedName>
    <definedName function="false" hidden="false" name="_lookup_E" vbProcedure="false">_LOOKUPS_CVSS!$D$69:$D$72</definedName>
    <definedName function="false" hidden="false" name="_lookup_heatmap_CWSS_val" vbProcedure="false">'Heat Map'!$D$4:$D$8</definedName>
    <definedName function="false" hidden="false" name="_lookup_heatmap_str" vbProcedure="false">'Heat Map'!$B$4:$B$8</definedName>
    <definedName function="false" hidden="false" name="_lookup_heatmap_val" vbProcedure="false">'Heat Map'!$C$4:$C$8</definedName>
    <definedName function="false" hidden="false" name="_lookup_MSA" vbProcedure="false">_LOOKUPS_CVSS!$D$83:$D$86</definedName>
    <definedName function="false" hidden="false" name="_lookup_MSI" vbProcedure="false">_LOOKUPS_CVSS!$D$76:$D$79</definedName>
    <definedName function="false" hidden="false" name="_lookup_PR" vbProcedure="false">_LOOKUPS_CVSS!$D$21:$D$23</definedName>
    <definedName function="false" hidden="false" name="_lookup_R" vbProcedure="false">_LOOKUPS_CVSS!$H$16:$H$19</definedName>
    <definedName function="false" hidden="false" name="_lookup_RE" vbProcedure="false">_LOOKUPS_CVSS!$H$29:$H$32</definedName>
    <definedName function="false" hidden="false" name="_lookup_S" vbProcedure="false">_LOOKUPS_CVSS!$H$4:$H$6</definedName>
    <definedName function="false" hidden="false" name="_lookup_SA" vbProcedure="false">_LOOKUPS_CVSS!$D$63:$D$65</definedName>
    <definedName function="false" hidden="false" name="_lookup_SafetyHeatMap" vbProcedure="false">'Heat Map'!$B$3:$I$8</definedName>
    <definedName function="false" hidden="false" name="_lookup_SafetyRating" vbProcedure="false">'Heat Map'!$E$3:$I$3</definedName>
    <definedName function="false" hidden="false" name="_lookup_SC" vbProcedure="false">_LOOKUPS_CVSS!$D$51:$D$53</definedName>
    <definedName function="false" hidden="false" name="_lookup_SI" vbProcedure="false">_LOOKUPS_CVSS!$D$57:$D$59</definedName>
    <definedName function="false" hidden="false" name="_lookup_STRIDE" vbProcedure="false">_LOOKUPS_COMMON!$D$9:$D$14</definedName>
    <definedName function="false" hidden="false" name="_lookup_U" vbProcedure="false">_LOOKUPS_CVSS!$H$36:$H$40</definedName>
    <definedName function="false" hidden="false" name="_lookup_UI" vbProcedure="false">_LOOKUPS_CVSS!$D$27:$D$29</definedName>
    <definedName function="false" hidden="false" name="_lookup_V" vbProcedure="false">_LOOKUPS_CVSS!$H$23:$H$25</definedName>
    <definedName function="false" hidden="false" name="_lookup_VA" vbProcedure="false">_LOOKUPS_CVSS!$D$45:$D$47</definedName>
    <definedName function="false" hidden="false" name="_lookup_VC" vbProcedure="false">_LOOKUPS_CVSS!$D$33:$D$35</definedName>
    <definedName function="false" hidden="false" name="_lookup_VI" vbProcedure="false">_LOOKUPS_CVSS!$D$39:$D$41</definedName>
    <definedName function="false" hidden="false" name="_lookup_Yes" vbProcedure="false">_LOOKUPS_COMMON!$D$4</definedName>
    <definedName function="false" hidden="false" name="_lookup_YesNo" vbProcedure="false">_LOOKUPS_COMMON!$D$4:$D$5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  <definedName function="false" hidden="false" name="_weight_CWSS_AL" vbProcedure="false">#REF!</definedName>
    <definedName function="false" hidden="false" name="_weight_CWSS_AP" vbProcedure="false">#REF!</definedName>
    <definedName function="false" hidden="false" name="_weight_CWSS_AS" vbProcedure="false">#REF!</definedName>
    <definedName function="false" hidden="false" name="_weight_CWSS_AU" vbProcedure="false">#REF!</definedName>
    <definedName function="false" hidden="false" name="_weight_CWSS_AV" vbProcedure="false">#REF!</definedName>
    <definedName function="false" hidden="false" name="_weight_CWSS_BI" vbProcedure="false">#REF!</definedName>
    <definedName function="false" hidden="false" name="_weight_CWSS_DI" vbProcedure="false">#REF!</definedName>
    <definedName function="false" hidden="false" name="_weight_CWSS_EC" vbProcedure="false">#REF!</definedName>
    <definedName function="false" hidden="false" name="_weight_CWSS_EX" vbProcedure="false">#REF!</definedName>
    <definedName function="false" hidden="false" name="_weight_CWSS_FC" vbProcedure="false">#REF!</definedName>
    <definedName function="false" hidden="false" name="_weight_CWSS_IC" vbProcedure="false">#REF!</definedName>
    <definedName function="false" hidden="false" name="_weight_CWSS_IN" vbProcedure="false">#REF!</definedName>
    <definedName function="false" hidden="false" name="_weight_CWSS_P" vbProcedure="false">#REF!</definedName>
    <definedName function="false" hidden="false" name="_weight_CWSS_RE" vbProcedure="false">#REF!</definedName>
    <definedName function="false" hidden="false" name="_weight_CWSS_RL" vbProcedure="false">#REF!</definedName>
    <definedName function="false" hidden="false" name="_weight_CWSS_RP" vbProcedure="false">#REF!</definedName>
    <definedName function="false" hidden="false" name="_weight_CWSS_SC" vbProcedure="false">#REF!</definedName>
    <definedName function="false" hidden="false" name="_weight_CWSS_TI" vbProcedure="false">#REF!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<sst xmlns="http://schemas.openxmlformats.org/spreadsheetml/2006/main" count="825" uniqueCount="269">
  <si>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</si>
  <si>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</si>
  <si>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</si>
  <si>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</si>
  <si>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</si>
  <si>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</si>
  <si>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Weaknesses (CWSS)</t>
  </si>
  <si>
    <t xml:space="preserve">Critical</t>
  </si>
  <si>
    <t xml:space="preserve">High</t>
  </si>
  <si>
    <t xml:space="preserve">Medium</t>
  </si>
  <si>
    <t xml:space="preserve">Low</t>
  </si>
  <si>
    <t xml:space="preserve">None</t>
  </si>
  <si>
    <t xml:space="preserve">Weaknesses</t>
  </si>
  <si>
    <t xml:space="preserve">Vulnerabilities (CVSS)</t>
  </si>
  <si>
    <t xml:space="preserve">Initial (Base)</t>
  </si>
  <si>
    <t xml:space="preserve">Residual (Modified)</t>
  </si>
  <si>
    <t xml:space="preserve">Cyber to Safety Heat-Map</t>
  </si>
  <si>
    <t xml:space="preserve">Cyber Risk</t>
  </si>
  <si>
    <t xml:space="preserve">Min CVSS Score</t>
  </si>
  <si>
    <t xml:space="preserve">Min CWSS Score</t>
  </si>
  <si>
    <t xml:space="preserve">Negligible</t>
  </si>
  <si>
    <t xml:space="preserve">Minor</t>
  </si>
  <si>
    <t xml:space="preserve">Moderate</t>
  </si>
  <si>
    <t xml:space="preserve">Serious</t>
  </si>
  <si>
    <t xml:space="preserve">Uncontrolled</t>
  </si>
  <si>
    <t xml:space="preserve">Controlled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</si>
  <si>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</si>
  <si>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</si>
  <si>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</si>
  <si>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</si>
  <si>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</si>
  <si>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</si>
  <si>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</si>
  <si>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</si>
  <si>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</si>
  <si>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</si>
  <si>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</si>
  <si>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</si>
  <si>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</si>
  <si>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</si>
  <si>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</si>
  <si>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</si>
  <si>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</si>
  <si>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</si>
  <si>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</si>
  <si>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</si>
  <si>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</si>
  <si>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</si>
  <si>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</si>
  <si>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</si>
  <si>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</si>
  <si>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</si>
  <si>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</si>
  <si>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</si>
  <si>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</si>
  <si>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</si>
  <si>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</si>
  <si>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</si>
  <si>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
Value</t>
  </si>
  <si>
    <t xml:space="preserve">CVSS-B
String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</si>
  <si>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</si>
  <si>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</si>
  <si>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</si>
  <si>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</si>
  <si>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</si>
  <si>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</si>
  <si>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</si>
  <si>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</si>
  <si>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</si>
  <si>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</si>
  <si>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</si>
  <si>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</si>
  <si>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</si>
  <si>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</si>
  <si>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</si>
  <si>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</si>
  <si>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</si>
  <si>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</si>
  <si>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</si>
  <si>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</si>
  <si>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</si>
  <si>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</si>
  <si>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</si>
  <si>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</si>
  <si>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</si>
  <si>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 Value</t>
  </si>
  <si>
    <t xml:space="preserve">CVSS-BE String</t>
  </si>
  <si>
    <t xml:space="preserve">Safety
(S)</t>
  </si>
  <si>
    <t xml:space="preserve">Safety Risk Identifiers</t>
  </si>
  <si>
    <t xml:space="preserve">AV:L/AC:L/AT:P/PR:L/UI:P/VC:H/VI:L/VA:L/SC:L/SI:L/SA:L</t>
  </si>
  <si>
    <t xml:space="preserve">Base Finding</t>
  </si>
  <si>
    <t xml:space="preserve">Attack Surface Group</t>
  </si>
  <si>
    <t xml:space="preserve">Environmental Group</t>
  </si>
  <si>
    <t xml:space="preserve">CWSS Subscores &amp; Final Ratings</t>
  </si>
  <si>
    <t xml:space="preserve">STRIDE</t>
  </si>
  <si>
    <t xml:space="preserve">Identification Date</t>
  </si>
  <si>
    <t xml:space="preserve">Technical Impact
(TI)</t>
  </si>
  <si>
    <t xml:space="preserve">Acquired Privilege
(AP)</t>
  </si>
  <si>
    <t xml:space="preserve">Acquired Privilege Layer
(AL)</t>
  </si>
  <si>
    <t xml:space="preserve">Internal Control Effectiveness
(IC)</t>
  </si>
  <si>
    <t xml:space="preserve">Finding Confidence
(FC)</t>
  </si>
  <si>
    <t xml:space="preserve">Required Privilege
(RP)</t>
  </si>
  <si>
    <t xml:space="preserve">Required Privilege Layer
(RL)</t>
  </si>
  <si>
    <t xml:space="preserve">Access Vector
(AV)</t>
  </si>
  <si>
    <t xml:space="preserve">Authentication Strength
(AS)</t>
  </si>
  <si>
    <t xml:space="preserve">Level of Interaction
(IN)</t>
  </si>
  <si>
    <t xml:space="preserve">Deployment Scope
(SC)</t>
  </si>
  <si>
    <t xml:space="preserve">Business Impact
(BI)</t>
  </si>
  <si>
    <t xml:space="preserve">Likelihood of Discovery
(DI)</t>
  </si>
  <si>
    <t xml:space="preserve">Likelihood of Exploit
(EX)</t>
  </si>
  <si>
    <t xml:space="preserve">Environmental Control Effectiveness
(EC)</t>
  </si>
  <si>
    <t xml:space="preserve">Weakness Prevalence
(P)</t>
  </si>
  <si>
    <t xml:space="preserve">Base Finding Subscore</t>
  </si>
  <si>
    <t xml:space="preserve">Attack Surface Subscore</t>
  </si>
  <si>
    <t xml:space="preserve">Environmental Subscore</t>
  </si>
  <si>
    <t xml:space="preserve">CWSS Final Score</t>
  </si>
  <si>
    <t xml:space="preserve">CWSS Severity Rating</t>
  </si>
  <si>
    <t xml:space="preserve">CWE-79</t>
  </si>
  <si>
    <t xml:space="preserve">Threat Model</t>
  </si>
  <si>
    <t xml:space="preserve">Tampering (T)</t>
  </si>
  <si>
    <t xml:space="preserve">Critical (C)</t>
  </si>
  <si>
    <t xml:space="preserve">Administrator (A)</t>
  </si>
  <si>
    <t xml:space="preserve">Enterprise (E)</t>
  </si>
  <si>
    <t xml:space="preserve">None (N)</t>
  </si>
  <si>
    <t xml:space="preserve">Proven (PR)</t>
  </si>
  <si>
    <t xml:space="preserve">Internet (I)</t>
  </si>
  <si>
    <t xml:space="preserve">Default (D)</t>
  </si>
  <si>
    <t xml:space="preserve">All (A)</t>
  </si>
  <si>
    <t xml:space="preserve">High (H)</t>
  </si>
  <si>
    <t xml:space="preserve">Active (A)</t>
  </si>
  <si>
    <t xml:space="preserve">Widespread (W)</t>
  </si>
  <si>
    <t xml:space="preserve">Code</t>
  </si>
  <si>
    <t xml:space="preserve">Description</t>
  </si>
  <si>
    <t xml:space="preserve">Drop-Down</t>
  </si>
  <si>
    <t xml:space="preserve">Y</t>
  </si>
  <si>
    <t xml:space="preserve">Yes</t>
  </si>
  <si>
    <t xml:space="preserve">N</t>
  </si>
  <si>
    <t xml:space="preserve">No</t>
  </si>
  <si>
    <t xml:space="preserve">S</t>
  </si>
  <si>
    <t xml:space="preserve">Spoofing</t>
  </si>
  <si>
    <t xml:space="preserve">T</t>
  </si>
  <si>
    <t xml:space="preserve">Tampering</t>
  </si>
  <si>
    <t xml:space="preserve">R</t>
  </si>
  <si>
    <t xml:space="preserve">Repudiation</t>
  </si>
  <si>
    <t xml:space="preserve">I</t>
  </si>
  <si>
    <t xml:space="preserve">Information Disclosure</t>
  </si>
  <si>
    <t xml:space="preserve">D</t>
  </si>
  <si>
    <t xml:space="preserve">Denial of Service</t>
  </si>
  <si>
    <t xml:space="preserve">E</t>
  </si>
  <si>
    <t xml:space="preserve">Elevation of Privilege</t>
  </si>
  <si>
    <t xml:space="preserve">Base</t>
  </si>
  <si>
    <t xml:space="preserve">Supplemental</t>
  </si>
  <si>
    <t xml:space="preserve">Network</t>
  </si>
  <si>
    <t xml:space="preserve">X</t>
  </si>
  <si>
    <t xml:space="preserve">Not Defined</t>
  </si>
  <si>
    <t xml:space="preserve">A</t>
  </si>
  <si>
    <t xml:space="preserve">Adjacent</t>
  </si>
  <si>
    <t xml:space="preserve">L</t>
  </si>
  <si>
    <t xml:space="preserve">Local</t>
  </si>
  <si>
    <t xml:space="preserve">P</t>
  </si>
  <si>
    <t xml:space="preserve">Present</t>
  </si>
  <si>
    <t xml:space="preserve">Physical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</si>
  <si>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</si>
  <si>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</si>
  <si>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</si>
  <si>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</si>
  <si>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</si>
  <si>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</si>
  <si>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</si>
  <si>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</si>
  <si>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</si>
  <si>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</si>
  <si>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</si>
  <si>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</si>
  <si>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</si>
  <si>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</si>
  <si>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Active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</si>
  <si>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</si>
  <si>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</si>
  <si>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</si>
  <si>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</si>
  <si>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</si>
  <si>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</si>
  <si>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</si>
  <si>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</si>
  <si>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</si>
  <si>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</si>
  <si>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</si>
  <si>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</si>
  <si>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</si>
  <si>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</si>
  <si>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</si>
  <si>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</si>
  <si>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</si>
  <si>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Proof of Concept</t>
  </si>
  <si>
    <t xml:space="preserve">Unreported</t>
  </si>
  <si>
    <t xml:space="preserve">Modified Subsequent Integ. (SI)</t>
  </si>
  <si>
    <t xml:space="preserve">Safety</t>
  </si>
  <si>
    <t xml:space="preserve">Modified Subsequent Avail. (SA)</t>
  </si>
  <si>
    <t xml:space="preserve">Base Findings</t>
  </si>
  <si>
    <t xml:space="preserve">Attack Surface</t>
  </si>
  <si>
    <t xml:space="preserve">Environmental</t>
  </si>
  <si>
    <t xml:space="preserve">Technical Impact (TI)</t>
  </si>
  <si>
    <t xml:space="preserve">Required Privilege (RP)</t>
  </si>
  <si>
    <t xml:space="preserve">Business Impact (BI)</t>
  </si>
  <si>
    <t xml:space="preserve">C</t>
  </si>
  <si>
    <t xml:space="preserve">Limited / Guest</t>
  </si>
  <si>
    <t xml:space="preserve">RU</t>
  </si>
  <si>
    <t xml:space="preserve">Regular User</t>
  </si>
  <si>
    <t xml:space="preserve">Partially-Privileged User</t>
  </si>
  <si>
    <t xml:space="preserve">Administrator</t>
  </si>
  <si>
    <t xml:space="preserve">Default</t>
  </si>
  <si>
    <t xml:space="preserve">UK</t>
  </si>
  <si>
    <t xml:space="preserve">Unknown</t>
  </si>
  <si>
    <t xml:space="preserve">NA</t>
  </si>
  <si>
    <t xml:space="preserve">Not Applicable</t>
  </si>
  <si>
    <t xml:space="preserve">Internal Control Effectiveness (IC)</t>
  </si>
  <si>
    <t xml:space="preserve">Required Privilege Layer (RL)</t>
  </si>
  <si>
    <t xml:space="preserve">Likelihood of Discovery (DI)</t>
  </si>
  <si>
    <t xml:space="preserve">Application</t>
  </si>
  <si>
    <t xml:space="preserve">Limited</t>
  </si>
  <si>
    <t xml:space="preserve">System</t>
  </si>
  <si>
    <t xml:space="preserve">Indirect (Defense-in-Depth)</t>
  </si>
  <si>
    <t xml:space="preserve">Enterprise Infra.</t>
  </si>
  <si>
    <t xml:space="preserve">B</t>
  </si>
  <si>
    <t xml:space="preserve">Best-Available</t>
  </si>
  <si>
    <t xml:space="preserve">Complete</t>
  </si>
  <si>
    <t xml:space="preserve">Likelihood of Exploit (EX)</t>
  </si>
  <si>
    <t xml:space="preserve">Access Vector (AV)</t>
  </si>
  <si>
    <t xml:space="preserve">Acquired Priviledge (AP)</t>
  </si>
  <si>
    <t xml:space="preserve">Internet</t>
  </si>
  <si>
    <t xml:space="preserve">Intranet</t>
  </si>
  <si>
    <t xml:space="preserve">V</t>
  </si>
  <si>
    <t xml:space="preserve">Private Network</t>
  </si>
  <si>
    <t xml:space="preserve">Adjacent Network</t>
  </si>
  <si>
    <t xml:space="preserve">Environmental Control Effectiveness (EC)</t>
  </si>
  <si>
    <t xml:space="preserve">Authentication Strength (AS)</t>
  </si>
  <si>
    <t xml:space="preserve">Acquired Privilege Layer (AL)</t>
  </si>
  <si>
    <t xml:space="preserve">Strong</t>
  </si>
  <si>
    <t xml:space="preserve">W</t>
  </si>
  <si>
    <t xml:space="preserve">Weak</t>
  </si>
  <si>
    <t xml:space="preserve">Weakness Prevalence (P)</t>
  </si>
  <si>
    <t xml:space="preserve">Level of Interaction (IN)</t>
  </si>
  <si>
    <t xml:space="preserve">Finding Confidence (FC)</t>
  </si>
  <si>
    <t xml:space="preserve">Widespread</t>
  </si>
  <si>
    <t xml:space="preserve">Automated</t>
  </si>
  <si>
    <t xml:space="preserve">Proven True</t>
  </si>
  <si>
    <t xml:space="preserve">Typical / Limited</t>
  </si>
  <si>
    <t xml:space="preserve">Common</t>
  </si>
  <si>
    <t xml:space="preserve">LT</t>
  </si>
  <si>
    <t xml:space="preserve">Proven Locally True</t>
  </si>
  <si>
    <t xml:space="preserve">F</t>
  </si>
  <si>
    <t xml:space="preserve">Proven False</t>
  </si>
  <si>
    <t xml:space="preserve">O</t>
  </si>
  <si>
    <t xml:space="preserve">Opportunistic</t>
  </si>
  <si>
    <t xml:space="preserve">NI</t>
  </si>
  <si>
    <t xml:space="preserve">No Interaction</t>
  </si>
  <si>
    <t xml:space="preserve">Deployment Scope (SC)</t>
  </si>
  <si>
    <t xml:space="preserve">All</t>
  </si>
  <si>
    <t xml:space="preserve">Rare</t>
  </si>
  <si>
    <t xml:space="preserve">Potentially Reachable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</si>
  <si>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</si>
  <si>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</si>
  <si>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</si>
  <si>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</si>
  <si>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</si>
  <si>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</si>
  <si>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</si>
  <si>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Low (L)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</si>
</sst>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General"/>
    <numFmt numFmtId="166" formatCode="0.0"/>
    <numFmt numFmtId="167" formatCode="0.00%"/>
    <numFmt numFmtId="168" formatCode="0.00"/>
    <numFmt numFmtId="169" formatCode="@"/>
    <numFmt numFmtId="170" formatCode="0.0%"/>
    <numFmt numFmtId="171" formatCode="0%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4"/>
      <name val="Arial"/>
      <family val="2"/>
      <charset val="1"/>
    </font>
    <font>
      <b val="true"/>
      <i val="true"/>
      <sz val="10"/>
      <name val="Arial"/>
      <family val="2"/>
      <charset val="1"/>
    </font>
    <font>
      <b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5">
    <fill>
      <patternFill patternType="none"/>
    </fill>
    <fill>
      <patternFill patternType="gray125"/>
    </fill>
    <fill>
      <patternFill patternType="solid">
        <fgColor rgb="FF999999"/>
        <bgColor rgb="FF81ACA6"/>
      </patternFill>
    </fill>
    <fill>
      <patternFill patternType="solid">
        <fgColor rgb="FF729FCF"/>
        <bgColor rgb="FF81ACA6"/>
      </patternFill>
    </fill>
    <fill>
      <patternFill patternType="solid">
        <fgColor rgb="FFB2B2B2"/>
        <bgColor rgb="FFB7B3CA"/>
      </patternFill>
    </fill>
    <fill>
      <patternFill patternType="solid">
        <fgColor rgb="FFB4C7DC"/>
        <bgColor rgb="FFADCBE3"/>
      </patternFill>
    </fill>
    <fill>
      <patternFill patternType="solid">
        <fgColor rgb="FF000000"/>
        <bgColor rgb="FF003300"/>
      </patternFill>
    </fill>
    <fill>
      <patternFill patternType="solid">
        <fgColor rgb="FFB7B3CA"/>
        <bgColor rgb="FFB2B2B2"/>
      </patternFill>
    </fill>
    <fill>
      <patternFill patternType="solid">
        <fgColor rgb="FFE0C2CD"/>
        <bgColor rgb="FFCCCCCC"/>
      </patternFill>
    </fill>
    <fill>
      <patternFill patternType="solid">
        <fgColor rgb="FFFFDBB6"/>
        <bgColor rgb="FFFFCCCC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E0C2CD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FD095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AFD095"/>
        <bgColor rgb="FFA8DAA8"/>
      </patternFill>
    </fill>
    <fill>
      <patternFill patternType="solid">
        <fgColor rgb="FFFFAA95"/>
        <bgColor rgb="FFE0C2CD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8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8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5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6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6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5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1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3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10" fillId="14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5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6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7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2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5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5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6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0" fillId="18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1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6" fillId="1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2" fillId="5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8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19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7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2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" fillId="1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5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8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19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7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2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0" fillId="1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10" borderId="1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1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false" hidden="false"/>
    </xf>
    <xf numFmtId="169" fontId="0" fillId="0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4" fillId="21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2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3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23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4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21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0" fillId="4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4" fillId="21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5" fillId="22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16" fillId="23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7" fillId="2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5" fillId="2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21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CCCC"/>
      <rgbColor rgb="FFFF00FF"/>
      <rgbColor rgb="FFDDDDDD"/>
      <rgbColor rgb="FF800000"/>
      <rgbColor rgb="FF006600"/>
      <rgbColor rgb="FF000080"/>
      <rgbColor rgb="FFA8C7DA"/>
      <rgbColor rgb="FF800080"/>
      <rgbColor rgb="FF008080"/>
      <rgbColor rgb="FFB7B3CA"/>
      <rgbColor rgb="FF808080"/>
      <rgbColor rgb="FF729FCF"/>
      <rgbColor rgb="FF993366"/>
      <rgbColor rgb="FFFFF5CE"/>
      <rgbColor rgb="FFF5F7FA"/>
      <rgbColor rgb="FF660066"/>
      <rgbColor rgb="FFE0C2CD"/>
      <rgbColor rgb="FF0066CC"/>
      <rgbColor rgb="FFD1D5DB"/>
      <rgbColor rgb="FF000080"/>
      <rgbColor rgb="FFFF00FF"/>
      <rgbColor rgb="FFA8DAA8"/>
      <rgbColor rgb="FF00FFFF"/>
      <rgbColor rgb="FF800080"/>
      <rgbColor rgb="FF800000"/>
      <rgbColor rgb="FF008080"/>
      <rgbColor rgb="FF0000FF"/>
      <rgbColor rgb="FFB4C7DC"/>
      <rgbColor rgb="FFDEDCE6"/>
      <rgbColor rgb="FFCCFFCC"/>
      <rgbColor rgb="FFDDDD79"/>
      <rgbColor rgb="FFADCBE3"/>
      <rgbColor rgb="FFFFAA95"/>
      <rgbColor rgb="FFECBFFF"/>
      <rgbColor rgb="FFFFDBB6"/>
      <rgbColor rgb="FF3366FF"/>
      <rgbColor rgb="FF81ACA6"/>
      <rgbColor rgb="FF81D41A"/>
      <rgbColor rgb="FFAFD095"/>
      <rgbColor rgb="FFB2B2B2"/>
      <rgbColor rgb="FFCCCCCC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H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11" activeCellId="0" sqref="J11"/>
    </sheetView>
  </sheetViews>
  <sheetFormatPr defaultColWidth="11.53515625" defaultRowHeight="12.8" zeroHeight="false" outlineLevelRow="0" outlineLevelCol="0"/>
  <cols>
    <col collapsed="false" customWidth="true" hidden="false" outlineLevel="0" max="2" min="2" style="1" width="18.26"/>
  </cols>
  <sheetData>
    <row r="1" customFormat="false" ht="12.8" hidden="false" customHeight="false" outlineLevel="0" collapsed="false">
      <c r="A1" s="7"/>
      <c r="B1" s="7"/>
      <c r="C1" s="7"/>
      <c r="D1" s="7"/>
      <c r="E1" s="7"/>
      <c r="F1" s="7"/>
      <c r="G1" s="7"/>
      <c r="H1" s="7"/>
    </row>
    <row r="2" customFormat="false" ht="17.35" hidden="false" customHeight="false" outlineLevel="0" collapsed="false">
      <c r="A2" s="7"/>
      <c r="B2" s="8" t="s">
        <v>6</v>
      </c>
      <c r="C2" s="8"/>
      <c r="D2" s="8"/>
      <c r="E2" s="8"/>
      <c r="F2" s="8"/>
      <c r="G2" s="8"/>
      <c r="H2" s="7"/>
    </row>
    <row r="3" customFormat="false" ht="21.6" hidden="false" customHeight="true" outlineLevel="0" collapsed="false">
      <c r="A3" s="9"/>
      <c r="B3" s="10"/>
      <c r="C3" s="11" t="s">
        <v>7</v>
      </c>
      <c r="D3" s="11" t="s">
        <v>8</v>
      </c>
      <c r="E3" s="11" t="s">
        <v>9</v>
      </c>
      <c r="F3" s="11" t="s">
        <v>10</v>
      </c>
      <c r="G3" s="11" t="s">
        <v>11</v>
      </c>
      <c r="H3" s="9"/>
    </row>
    <row r="4" customFormat="false" ht="21.6" hidden="false" customHeight="true" outlineLevel="0" collapsed="false">
      <c r="A4" s="9"/>
      <c r="B4" s="12" t="s">
        <v>12</v>
      </c>
      <c r="C4" s="13" t="n">
        <f aca="false">COUNTIF('Risk Assessment (CWSS)'!$AA:$AA,C$3)</f>
        <v>0</v>
      </c>
      <c r="D4" s="13" t="n">
        <f aca="false">COUNTIF('Risk Assessment (CWSS)'!$AA:$AA,D$3)</f>
        <v>0</v>
      </c>
      <c r="E4" s="13" t="n">
        <f aca="false">COUNTIF('Risk Assessment (CWSS)'!$AA:$AA,E$3)</f>
        <v>1</v>
      </c>
      <c r="F4" s="13" t="n">
        <f aca="false">COUNTIF('Risk Assessment (CWSS)'!$AA:$AA,F$3)</f>
        <v>0</v>
      </c>
      <c r="G4" s="13" t="n">
        <f aca="false">COUNTIF('Risk Assessment (CWSS)'!$AA:$AA,G$3)</f>
        <v>0</v>
      </c>
      <c r="H4" s="9"/>
    </row>
    <row r="5" customFormat="false" ht="12.8" hidden="false" customHeight="false" outlineLevel="0" collapsed="false">
      <c r="A5" s="7"/>
      <c r="B5" s="7"/>
      <c r="C5" s="7"/>
      <c r="D5" s="7"/>
      <c r="E5" s="7"/>
      <c r="F5" s="7"/>
      <c r="G5" s="7"/>
      <c r="H5" s="7"/>
    </row>
    <row r="6" customFormat="false" ht="17.35" hidden="false" customHeight="false" outlineLevel="0" collapsed="false">
      <c r="A6" s="7"/>
      <c r="B6" s="8" t="s">
        <v>13</v>
      </c>
      <c r="C6" s="8"/>
      <c r="D6" s="8"/>
      <c r="E6" s="8"/>
      <c r="F6" s="8"/>
      <c r="G6" s="8"/>
      <c r="H6" s="7"/>
    </row>
    <row r="7" customFormat="false" ht="21.6" hidden="false" customHeight="true" outlineLevel="0" collapsed="false">
      <c r="A7" s="9"/>
      <c r="B7" s="10"/>
      <c r="C7" s="11" t="s">
        <v>7</v>
      </c>
      <c r="D7" s="11" t="s">
        <v>8</v>
      </c>
      <c r="E7" s="11" t="s">
        <v>9</v>
      </c>
      <c r="F7" s="11" t="s">
        <v>10</v>
      </c>
      <c r="G7" s="11" t="s">
        <v>11</v>
      </c>
      <c r="H7" s="9"/>
    </row>
    <row r="8" customFormat="false" ht="21.6" hidden="false" customHeight="true" outlineLevel="0" collapsed="false">
      <c r="A8" s="9"/>
      <c r="B8" s="12" t="s">
        <v>14</v>
      </c>
      <c r="C8" s="14" t="n">
        <f aca="false">COUNTIF('Risk Assessment (CVSS)'!$I:$I,C$7)</f>
        <v>0</v>
      </c>
      <c r="D8" s="14" t="n">
        <f aca="false">COUNTIF('Risk Assessment (CVSS)'!$I:$I,D$7)</f>
        <v>0</v>
      </c>
      <c r="E8" s="14" t="n">
        <f aca="false">COUNTIF('Risk Assessment (CVSS)'!$I:$I,E$7)</f>
        <v>1</v>
      </c>
      <c r="F8" s="14" t="n">
        <f aca="false">COUNTIF('Risk Assessment (CVSS)'!$I:$I,F$7)</f>
        <v>0</v>
      </c>
      <c r="G8" s="14" t="n">
        <f aca="false">COUNTIF('Risk Assessment (CVSS)'!$I:$I,G$7)</f>
        <v>0</v>
      </c>
      <c r="H8" s="9"/>
    </row>
    <row r="9" customFormat="false" ht="21.6" hidden="false" customHeight="true" outlineLevel="0" collapsed="false">
      <c r="A9" s="9"/>
      <c r="B9" s="12" t="s">
        <v>15</v>
      </c>
      <c r="C9" s="14" t="n">
        <f aca="false">COUNTIF('Risk Assessment (CVSS)'!$AK:$AK,C$7)</f>
        <v>0</v>
      </c>
      <c r="D9" s="14" t="n">
        <f aca="false">COUNTIF('Risk Assessment (CVSS)'!$AK:$AK,D$7)</f>
        <v>0</v>
      </c>
      <c r="E9" s="14" t="n">
        <f aca="false">COUNTIF('Risk Assessment (CVSS)'!$AK:$AK,E$7)</f>
        <v>1</v>
      </c>
      <c r="F9" s="14" t="n">
        <f aca="false">COUNTIF('Risk Assessment (CVSS)'!$AK:$AK,F$7)</f>
        <v>0</v>
      </c>
      <c r="G9" s="14" t="n">
        <f aca="false">COUNTIF('Risk Assessment (CVSS)'!$AK:$AK,G$7)</f>
        <v>0</v>
      </c>
      <c r="H9" s="9"/>
    </row>
    <row r="10" customFormat="false" ht="12.8" hidden="false" customHeight="false" outlineLevel="0" collapsed="false">
      <c r="A10" s="7"/>
      <c r="B10" s="7"/>
      <c r="C10" s="7"/>
      <c r="D10" s="7"/>
      <c r="E10" s="7"/>
      <c r="F10" s="7"/>
      <c r="G10" s="7"/>
      <c r="H10" s="7"/>
    </row>
  </sheetData>
  <mergeCells count="2">
    <mergeCell ref="B2:G2"/>
    <mergeCell ref="B6:G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J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5" width="10.85"/>
    <col collapsed="false" customWidth="true" hidden="false" outlineLevel="0" max="3" min="3" style="16" width="9.87"/>
    <col collapsed="false" customWidth="false" hidden="false" outlineLevel="0" max="4" min="4" style="16" width="11.53"/>
    <col collapsed="false" customWidth="true" hidden="false" outlineLevel="0" max="8" min="5" style="1" width="13.75"/>
  </cols>
  <sheetData>
    <row r="1" customFormat="false" ht="12.8" hidden="false" customHeight="false" outlineLevel="0" collapsed="false">
      <c r="A1" s="17"/>
      <c r="B1" s="7"/>
      <c r="C1" s="18"/>
      <c r="D1" s="18"/>
      <c r="E1" s="7"/>
      <c r="F1" s="7"/>
      <c r="G1" s="7"/>
      <c r="H1" s="7"/>
      <c r="I1" s="7"/>
      <c r="J1" s="7"/>
    </row>
    <row r="2" customFormat="false" ht="19.05" hidden="false" customHeight="true" outlineLevel="0" collapsed="false">
      <c r="A2" s="17"/>
      <c r="B2" s="19" t="s">
        <v>16</v>
      </c>
      <c r="C2" s="19"/>
      <c r="D2" s="19"/>
      <c r="E2" s="19"/>
      <c r="F2" s="19"/>
      <c r="G2" s="19"/>
      <c r="H2" s="19"/>
      <c r="I2" s="19"/>
      <c r="J2" s="7"/>
    </row>
    <row r="3" customFormat="false" ht="23.85" hidden="false" customHeight="false" outlineLevel="0" collapsed="false">
      <c r="A3" s="9"/>
      <c r="B3" s="20" t="s">
        <v>17</v>
      </c>
      <c r="C3" s="21" t="s">
        <v>18</v>
      </c>
      <c r="D3" s="21" t="s">
        <v>19</v>
      </c>
      <c r="E3" s="21" t="s">
        <v>20</v>
      </c>
      <c r="F3" s="21" t="s">
        <v>21</v>
      </c>
      <c r="G3" s="21" t="s">
        <v>22</v>
      </c>
      <c r="H3" s="21" t="s">
        <v>23</v>
      </c>
      <c r="I3" s="21" t="s">
        <v>7</v>
      </c>
      <c r="J3" s="7"/>
    </row>
    <row r="4" customFormat="false" ht="18.2" hidden="false" customHeight="true" outlineLevel="0" collapsed="false">
      <c r="A4" s="9"/>
      <c r="B4" s="22" t="s">
        <v>7</v>
      </c>
      <c r="C4" s="23" t="n">
        <v>9</v>
      </c>
      <c r="D4" s="23" t="n">
        <v>90</v>
      </c>
      <c r="E4" s="24" t="s">
        <v>24</v>
      </c>
      <c r="F4" s="24" t="s">
        <v>24</v>
      </c>
      <c r="G4" s="24" t="s">
        <v>24</v>
      </c>
      <c r="H4" s="24" t="s">
        <v>24</v>
      </c>
      <c r="I4" s="24" t="s">
        <v>24</v>
      </c>
      <c r="J4" s="7"/>
    </row>
    <row r="5" customFormat="false" ht="18.2" hidden="false" customHeight="true" outlineLevel="0" collapsed="false">
      <c r="A5" s="9"/>
      <c r="B5" s="22" t="s">
        <v>8</v>
      </c>
      <c r="C5" s="23" t="n">
        <v>7</v>
      </c>
      <c r="D5" s="23" t="n">
        <v>70</v>
      </c>
      <c r="E5" s="24" t="s">
        <v>25</v>
      </c>
      <c r="F5" s="24" t="s">
        <v>24</v>
      </c>
      <c r="G5" s="24" t="s">
        <v>24</v>
      </c>
      <c r="H5" s="24" t="s">
        <v>24</v>
      </c>
      <c r="I5" s="24" t="s">
        <v>24</v>
      </c>
      <c r="J5" s="7"/>
    </row>
    <row r="6" customFormat="false" ht="18.2" hidden="false" customHeight="true" outlineLevel="0" collapsed="false">
      <c r="A6" s="9"/>
      <c r="B6" s="22" t="s">
        <v>9</v>
      </c>
      <c r="C6" s="23" t="n">
        <v>4</v>
      </c>
      <c r="D6" s="23" t="n">
        <v>40</v>
      </c>
      <c r="E6" s="24" t="s">
        <v>25</v>
      </c>
      <c r="F6" s="24" t="s">
        <v>25</v>
      </c>
      <c r="G6" s="24" t="s">
        <v>24</v>
      </c>
      <c r="H6" s="24" t="s">
        <v>24</v>
      </c>
      <c r="I6" s="24" t="s">
        <v>24</v>
      </c>
      <c r="J6" s="7"/>
    </row>
    <row r="7" customFormat="false" ht="18.2" hidden="false" customHeight="true" outlineLevel="0" collapsed="false">
      <c r="A7" s="9"/>
      <c r="B7" s="22" t="s">
        <v>10</v>
      </c>
      <c r="C7" s="23" t="n">
        <v>0.1</v>
      </c>
      <c r="D7" s="23" t="n">
        <v>0.1</v>
      </c>
      <c r="E7" s="24" t="s">
        <v>25</v>
      </c>
      <c r="F7" s="24" t="s">
        <v>25</v>
      </c>
      <c r="G7" s="24" t="s">
        <v>25</v>
      </c>
      <c r="H7" s="24" t="s">
        <v>24</v>
      </c>
      <c r="I7" s="24" t="s">
        <v>24</v>
      </c>
      <c r="J7" s="7"/>
    </row>
    <row r="8" customFormat="false" ht="18.2" hidden="false" customHeight="true" outlineLevel="0" collapsed="false">
      <c r="A8" s="9"/>
      <c r="B8" s="22" t="s">
        <v>11</v>
      </c>
      <c r="C8" s="23" t="n">
        <v>0</v>
      </c>
      <c r="D8" s="23" t="n">
        <v>0</v>
      </c>
      <c r="E8" s="24" t="s">
        <v>25</v>
      </c>
      <c r="F8" s="24" t="s">
        <v>25</v>
      </c>
      <c r="G8" s="24" t="s">
        <v>25</v>
      </c>
      <c r="H8" s="24" t="s">
        <v>25</v>
      </c>
      <c r="I8" s="24" t="s">
        <v>25</v>
      </c>
      <c r="J8" s="7"/>
    </row>
    <row r="9" customFormat="false" ht="12.8" hidden="false" customHeight="false" outlineLevel="0" collapsed="false">
      <c r="A9" s="9"/>
      <c r="B9" s="7"/>
      <c r="C9" s="18"/>
      <c r="D9" s="18"/>
      <c r="E9" s="7"/>
      <c r="F9" s="7"/>
      <c r="G9" s="7"/>
      <c r="H9" s="7"/>
      <c r="I9" s="7"/>
      <c r="J9" s="7"/>
    </row>
    <row r="10" customFormat="false" ht="12.8" hidden="false" customHeight="false" outlineLevel="0" collapsed="false">
      <c r="A10" s="1"/>
      <c r="B10" s="16"/>
      <c r="C10" s="1"/>
      <c r="D10" s="1"/>
    </row>
    <row r="11" customFormat="false" ht="12.8" hidden="false" customHeight="false" outlineLevel="0" collapsed="false">
      <c r="A11" s="1"/>
      <c r="B11" s="16"/>
      <c r="C11" s="1"/>
      <c r="D11" s="1"/>
    </row>
    <row r="12" customFormat="false" ht="12.8" hidden="false" customHeight="false" outlineLevel="0" collapsed="false">
      <c r="A12" s="1"/>
      <c r="B12" s="16"/>
      <c r="C12" s="1"/>
      <c r="D12" s="1"/>
    </row>
    <row r="13" customFormat="false" ht="12.8" hidden="false" customHeight="false" outlineLevel="0" collapsed="false">
      <c r="A13" s="1"/>
      <c r="B13" s="16"/>
      <c r="C13" s="1"/>
      <c r="D13" s="1"/>
    </row>
    <row r="14" customFormat="false" ht="12.8" hidden="false" customHeight="false" outlineLevel="0" collapsed="false">
      <c r="A14" s="1"/>
      <c r="B14" s="16"/>
      <c r="C14" s="1"/>
      <c r="D14" s="1"/>
    </row>
    <row r="21" customFormat="false" ht="12.8" hidden="false" customHeight="false" outlineLevel="0" collapsed="false">
      <c r="A21" s="1"/>
      <c r="B21" s="16"/>
      <c r="C21" s="1"/>
      <c r="D21" s="1"/>
    </row>
    <row r="22" customFormat="false" ht="12.8" hidden="false" customHeight="false" outlineLevel="0" collapsed="false">
      <c r="A22" s="1"/>
      <c r="B22" s="16"/>
      <c r="C22" s="1"/>
      <c r="D22" s="1"/>
    </row>
    <row r="23" customFormat="false" ht="12.8" hidden="false" customHeight="false" outlineLevel="0" collapsed="false">
      <c r="A23" s="1"/>
      <c r="B23" s="16"/>
      <c r="C23" s="1"/>
      <c r="D23" s="1"/>
    </row>
    <row r="31" customFormat="false" ht="12.8" hidden="false" customHeight="false" outlineLevel="0" collapsed="false">
      <c r="A31" s="25"/>
    </row>
    <row r="32" customFormat="false" ht="12.8" hidden="false" customHeight="false" outlineLevel="0" collapsed="false">
      <c r="A32" s="25"/>
    </row>
    <row r="33" customFormat="false" ht="12.8" hidden="false" customHeight="false" outlineLevel="0" collapsed="false">
      <c r="A33" s="25"/>
    </row>
    <row r="34" customFormat="false" ht="12.8" hidden="false" customHeight="false" outlineLevel="0" collapsed="false">
      <c r="A34" s="25"/>
    </row>
    <row r="35" customFormat="false" ht="12.8" hidden="false" customHeight="false" outlineLevel="0" collapsed="false">
      <c r="A35" s="25"/>
    </row>
  </sheetData>
  <mergeCells count="1">
    <mergeCell ref="B2:I2"/>
  </mergeCells>
  <conditionalFormatting sqref="E4:I5 E7:I8 E6 H6:I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F6:G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31" activeCellId="0" sqref="C31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26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27"/>
      <c r="C1" s="2"/>
      <c r="D1" s="2"/>
      <c r="E1" s="2"/>
    </row>
    <row r="2" customFormat="false" ht="15" hidden="false" customHeight="false" outlineLevel="0" collapsed="false">
      <c r="A2" s="2"/>
      <c r="B2" s="19" t="s">
        <v>26</v>
      </c>
      <c r="C2" s="19"/>
      <c r="D2" s="19"/>
      <c r="E2" s="2"/>
    </row>
    <row r="3" customFormat="false" ht="20.85" hidden="false" customHeight="true" outlineLevel="0" collapsed="false">
      <c r="A3" s="2"/>
      <c r="B3" s="28"/>
      <c r="C3" s="29" t="s">
        <v>27</v>
      </c>
      <c r="D3" s="30" t="s">
        <v>28</v>
      </c>
      <c r="E3" s="2"/>
    </row>
    <row r="4" customFormat="false" ht="12.8" hidden="false" customHeight="false" outlineLevel="0" collapsed="false">
      <c r="A4" s="2"/>
      <c r="B4" s="27"/>
      <c r="C4" s="2"/>
      <c r="D4" s="2"/>
      <c r="E4" s="2"/>
    </row>
    <row r="5" customFormat="false" ht="15" hidden="false" customHeight="false" outlineLevel="0" collapsed="false">
      <c r="A5" s="2"/>
      <c r="B5" s="19" t="s">
        <v>29</v>
      </c>
      <c r="C5" s="19"/>
      <c r="D5" s="19"/>
      <c r="E5" s="2"/>
    </row>
    <row r="6" customFormat="false" ht="12.8" hidden="false" customHeight="false" outlineLevel="0" collapsed="false">
      <c r="A6" s="2"/>
      <c r="B6" s="31"/>
      <c r="C6" s="32" t="s">
        <v>30</v>
      </c>
      <c r="D6" s="33" t="s">
        <v>31</v>
      </c>
      <c r="E6" s="2"/>
    </row>
    <row r="7" customFormat="false" ht="35.05" hidden="false" customHeight="false" outlineLevel="0" collapsed="false">
      <c r="A7" s="2"/>
      <c r="B7" s="34" t="s">
        <v>32</v>
      </c>
      <c r="C7" s="35" t="s">
        <v>33</v>
      </c>
      <c r="D7" s="30" t="s">
        <v>28</v>
      </c>
      <c r="E7" s="2"/>
    </row>
    <row r="8" customFormat="false" ht="23.85" hidden="false" customHeight="false" outlineLevel="0" collapsed="false">
      <c r="A8" s="2"/>
      <c r="B8" s="34" t="s">
        <v>34</v>
      </c>
      <c r="C8" s="35" t="s">
        <v>35</v>
      </c>
      <c r="D8" s="30" t="s">
        <v>36</v>
      </c>
      <c r="E8" s="2"/>
    </row>
    <row r="9" customFormat="false" ht="23.85" hidden="false" customHeight="false" outlineLevel="0" collapsed="false">
      <c r="A9" s="2"/>
      <c r="B9" s="34" t="s">
        <v>37</v>
      </c>
      <c r="C9" s="35" t="s">
        <v>38</v>
      </c>
      <c r="D9" s="30" t="s">
        <v>36</v>
      </c>
      <c r="E9" s="2"/>
    </row>
    <row r="10" customFormat="false" ht="7.45" hidden="false" customHeight="true" outlineLevel="0" collapsed="false">
      <c r="A10" s="2"/>
      <c r="B10" s="36"/>
      <c r="C10" s="37"/>
      <c r="D10" s="38"/>
      <c r="E10" s="2"/>
    </row>
    <row r="11" customFormat="false" ht="15" hidden="false" customHeight="false" outlineLevel="0" collapsed="false">
      <c r="A11" s="2"/>
      <c r="B11" s="39" t="s">
        <v>39</v>
      </c>
      <c r="C11" s="39"/>
      <c r="D11" s="39"/>
      <c r="E11" s="2"/>
    </row>
    <row r="12" customFormat="false" ht="33.55" hidden="false" customHeight="true" outlineLevel="0" collapsed="false">
      <c r="A12" s="2"/>
      <c r="B12" s="40" t="s">
        <v>40</v>
      </c>
      <c r="C12" s="40"/>
      <c r="D12" s="40"/>
      <c r="E12" s="2"/>
    </row>
    <row r="13" customFormat="false" ht="15" hidden="false" customHeight="false" outlineLevel="0" collapsed="false">
      <c r="A13" s="2"/>
      <c r="B13" s="39" t="s">
        <v>41</v>
      </c>
      <c r="C13" s="39"/>
      <c r="D13" s="39"/>
      <c r="E13" s="2"/>
    </row>
    <row r="14" customFormat="false" ht="44" hidden="false" customHeight="true" outlineLevel="0" collapsed="false">
      <c r="A14" s="2"/>
      <c r="B14" s="40" t="s">
        <v>42</v>
      </c>
      <c r="C14" s="40"/>
      <c r="D14" s="40"/>
      <c r="E14" s="2"/>
    </row>
    <row r="15" customFormat="false" ht="12.8" hidden="false" customHeight="false" outlineLevel="0" collapsed="false">
      <c r="A15" s="2"/>
      <c r="B15" s="27"/>
      <c r="C15" s="2"/>
      <c r="D15" s="2"/>
      <c r="E15" s="2"/>
    </row>
    <row r="16" customFormat="false" ht="15" hidden="false" customHeight="false" outlineLevel="0" collapsed="false">
      <c r="A16" s="2"/>
      <c r="B16" s="19" t="s">
        <v>43</v>
      </c>
      <c r="C16" s="19"/>
      <c r="D16" s="19"/>
      <c r="E16" s="2"/>
    </row>
    <row r="17" customFormat="false" ht="12.8" hidden="false" customHeight="false" outlineLevel="0" collapsed="false">
      <c r="A17" s="2"/>
      <c r="B17" s="31"/>
      <c r="C17" s="32" t="s">
        <v>30</v>
      </c>
      <c r="D17" s="33" t="s">
        <v>31</v>
      </c>
      <c r="E17" s="2"/>
    </row>
    <row r="18" customFormat="false" ht="35.05" hidden="false" customHeight="false" outlineLevel="0" collapsed="false">
      <c r="A18" s="2"/>
      <c r="B18" s="34" t="s">
        <v>32</v>
      </c>
      <c r="C18" s="35" t="s">
        <v>44</v>
      </c>
      <c r="D18" s="30" t="s">
        <v>28</v>
      </c>
      <c r="E18" s="2"/>
    </row>
    <row r="19" customFormat="false" ht="35.05" hidden="false" customHeight="false" outlineLevel="0" collapsed="false">
      <c r="A19" s="2"/>
      <c r="B19" s="34" t="s">
        <v>37</v>
      </c>
      <c r="C19" s="35" t="s">
        <v>45</v>
      </c>
      <c r="D19" s="30" t="s">
        <v>28</v>
      </c>
      <c r="E19" s="2"/>
    </row>
    <row r="20" customFormat="false" ht="7.45" hidden="false" customHeight="true" outlineLevel="0" collapsed="false">
      <c r="A20" s="2"/>
      <c r="B20" s="36"/>
      <c r="C20" s="37"/>
      <c r="D20" s="38"/>
      <c r="E20" s="2"/>
    </row>
    <row r="21" customFormat="false" ht="15" hidden="false" customHeight="false" outlineLevel="0" collapsed="false">
      <c r="A21" s="2"/>
      <c r="B21" s="39" t="s">
        <v>39</v>
      </c>
      <c r="C21" s="39"/>
      <c r="D21" s="39"/>
      <c r="E21" s="2"/>
    </row>
    <row r="22" customFormat="false" ht="37.3" hidden="false" customHeight="true" outlineLevel="0" collapsed="false">
      <c r="A22" s="2"/>
      <c r="B22" s="40" t="s">
        <v>40</v>
      </c>
      <c r="C22" s="40"/>
      <c r="D22" s="40"/>
      <c r="E22" s="2"/>
    </row>
    <row r="23" customFormat="false" ht="15" hidden="false" customHeight="false" outlineLevel="0" collapsed="false">
      <c r="A23" s="2"/>
      <c r="B23" s="39" t="s">
        <v>41</v>
      </c>
      <c r="C23" s="39"/>
      <c r="D23" s="39"/>
      <c r="E23" s="2"/>
    </row>
    <row r="24" customFormat="false" ht="59.7" hidden="false" customHeight="true" outlineLevel="0" collapsed="false">
      <c r="A24" s="2"/>
      <c r="B24" s="40" t="s">
        <v>42</v>
      </c>
      <c r="C24" s="40"/>
      <c r="D24" s="40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41"/>
    </row>
    <row r="27" customFormat="false" ht="12.8" hidden="false" customHeight="false" outlineLevel="0" collapsed="false">
      <c r="B27" s="42"/>
    </row>
    <row r="28" customFormat="false" ht="12.8" hidden="false" customHeight="false" outlineLevel="0" collapsed="false">
      <c r="B28" s="42"/>
    </row>
    <row r="29" customFormat="false" ht="12.8" hidden="false" customHeight="false" outlineLevel="0" collapsed="false">
      <c r="B29" s="42"/>
    </row>
    <row r="30" customFormat="false" ht="15" hidden="false" customHeight="false" outlineLevel="0" collapsed="false">
      <c r="B30" s="43"/>
    </row>
    <row r="31" customFormat="false" ht="12.8" hidden="false" customHeight="false" outlineLevel="0" collapsed="false">
      <c r="B31" s="41"/>
    </row>
    <row r="32" customFormat="false" ht="12.8" hidden="false" customHeight="false" outlineLevel="0" collapsed="false">
      <c r="B32" s="42"/>
    </row>
    <row r="33" customFormat="false" ht="12.8" hidden="false" customHeight="false" outlineLevel="0" collapsed="false">
      <c r="B33" s="42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_lookup_CWSS_AU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729FCF"/>
    <pageSetUpPr fitToPage="false"/>
  </sheetPr>
  <dimension ref="A1:BE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4" width="12.38"/>
    <col collapsed="false" customWidth="true" hidden="false" outlineLevel="0" max="2" min="2" style="45" width="50.36"/>
    <col collapsed="false" customWidth="true" hidden="false" outlineLevel="0" max="3" min="3" style="45" width="37.69"/>
    <col collapsed="false" customWidth="true" hidden="false" outlineLevel="0" max="4" min="4" style="45" width="21.88"/>
    <col collapsed="false" customWidth="true" hidden="false" outlineLevel="0" max="5" min="5" style="44" width="21.88"/>
    <col collapsed="false" customWidth="true" hidden="false" outlineLevel="0" max="6" min="6" style="44" width="22.02"/>
    <col collapsed="false" customWidth="true" hidden="false" outlineLevel="0" max="7" min="7" style="45" width="64.31"/>
    <col collapsed="false" customWidth="true" hidden="false" outlineLevel="0" max="8" min="8" style="46" width="16.12"/>
    <col collapsed="false" customWidth="true" hidden="false" outlineLevel="0" max="10" min="9" style="46" width="12.83"/>
    <col collapsed="false" customWidth="true" hidden="false" outlineLevel="0" max="11" min="11" style="45" width="12.83"/>
    <col collapsed="false" customWidth="true" hidden="false" outlineLevel="0" max="12" min="12" style="45" width="16.12"/>
    <col collapsed="false" customWidth="true" hidden="false" outlineLevel="0" max="17" min="13" style="45" width="12.83"/>
    <col collapsed="false" customWidth="true" hidden="false" outlineLevel="0" max="18" min="18" style="45" width="17.24"/>
    <col collapsed="false" customWidth="true" hidden="false" outlineLevel="0" max="19" min="19" style="45" width="13.91"/>
    <col collapsed="false" customWidth="true" hidden="false" outlineLevel="0" max="20" min="20" style="45" width="14.74"/>
    <col collapsed="false" customWidth="true" hidden="false" outlineLevel="0" max="21" min="21" style="47" width="10.85"/>
    <col collapsed="false" customWidth="false" hidden="false" outlineLevel="0" max="22" min="22" style="48" width="11.53"/>
    <col collapsed="false" customWidth="true" hidden="false" outlineLevel="0" max="23" min="23" style="48" width="19.47"/>
    <col collapsed="false" customWidth="false" hidden="false" outlineLevel="0" max="24" min="24" style="49" width="11.53"/>
    <col collapsed="false" customWidth="true" hidden="false" outlineLevel="0" max="34" min="25" style="47" width="13.66"/>
    <col collapsed="false" customWidth="true" hidden="false" outlineLevel="0" max="35" min="35" style="45" width="64.58"/>
    <col collapsed="false" customWidth="true" hidden="false" outlineLevel="0" max="36" min="36" style="45" width="13.63"/>
    <col collapsed="false" customWidth="true" hidden="false" outlineLevel="0" max="37" min="37" style="49" width="13.75"/>
    <col collapsed="false" customWidth="true" hidden="false" outlineLevel="0" max="38" min="38" style="47" width="13.66"/>
    <col collapsed="false" customWidth="true" hidden="false" outlineLevel="0" max="39" min="39" style="47" width="38.33"/>
    <col collapsed="false" customWidth="true" hidden="false" outlineLevel="0" max="40" min="40" style="47" width="15.71"/>
    <col collapsed="false" customWidth="false" hidden="false" outlineLevel="0" max="16384" min="41" style="47" width="11.53"/>
  </cols>
  <sheetData>
    <row r="1" customFormat="false" ht="23.85" hidden="false" customHeight="true" outlineLevel="0" collapsed="false">
      <c r="A1" s="50" t="s">
        <v>46</v>
      </c>
      <c r="B1" s="50"/>
      <c r="C1" s="50"/>
      <c r="D1" s="50"/>
      <c r="E1" s="50"/>
      <c r="F1" s="50"/>
      <c r="G1" s="51" t="s">
        <v>47</v>
      </c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2" t="s">
        <v>48</v>
      </c>
      <c r="V1" s="52"/>
      <c r="W1" s="52"/>
      <c r="X1" s="53" t="str">
        <f aca="false">"MODIFIED BASE METRICS [CHARACTERIZATION="&amp;'Characterization (CVSS)'!D3&amp;"]"</f>
        <v>MODIFIED BASE METRICS [CHARACTERIZATION=No (N)]</v>
      </c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4" t="s">
        <v>49</v>
      </c>
      <c r="AJ1" s="54"/>
      <c r="AK1" s="54"/>
      <c r="AL1" s="55" t="s">
        <v>50</v>
      </c>
      <c r="AM1" s="55"/>
      <c r="AN1" s="56" t="s">
        <v>51</v>
      </c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</row>
    <row r="2" customFormat="false" ht="35.05" hidden="false" customHeight="false" outlineLevel="0" collapsed="false">
      <c r="A2" s="58" t="s">
        <v>52</v>
      </c>
      <c r="B2" s="58" t="s">
        <v>53</v>
      </c>
      <c r="C2" s="58" t="s">
        <v>54</v>
      </c>
      <c r="D2" s="58" t="s">
        <v>55</v>
      </c>
      <c r="E2" s="58" t="s">
        <v>56</v>
      </c>
      <c r="F2" s="58" t="s">
        <v>3</v>
      </c>
      <c r="G2" s="59" t="s">
        <v>57</v>
      </c>
      <c r="H2" s="60" t="s">
        <v>58</v>
      </c>
      <c r="I2" s="60" t="s">
        <v>59</v>
      </c>
      <c r="J2" s="60" t="s">
        <v>60</v>
      </c>
      <c r="K2" s="60" t="s">
        <v>61</v>
      </c>
      <c r="L2" s="60" t="s">
        <v>62</v>
      </c>
      <c r="M2" s="60" t="s">
        <v>63</v>
      </c>
      <c r="N2" s="60" t="s">
        <v>64</v>
      </c>
      <c r="O2" s="60" t="s">
        <v>65</v>
      </c>
      <c r="P2" s="60" t="s">
        <v>66</v>
      </c>
      <c r="Q2" s="60" t="s">
        <v>67</v>
      </c>
      <c r="R2" s="60" t="s">
        <v>68</v>
      </c>
      <c r="S2" s="60" t="s">
        <v>69</v>
      </c>
      <c r="T2" s="60" t="s">
        <v>70</v>
      </c>
      <c r="U2" s="61" t="s">
        <v>71</v>
      </c>
      <c r="V2" s="61" t="s">
        <v>72</v>
      </c>
      <c r="W2" s="61" t="s">
        <v>73</v>
      </c>
      <c r="X2" s="62" t="s">
        <v>74</v>
      </c>
      <c r="Y2" s="62" t="s">
        <v>75</v>
      </c>
      <c r="Z2" s="62" t="s">
        <v>76</v>
      </c>
      <c r="AA2" s="62" t="s">
        <v>77</v>
      </c>
      <c r="AB2" s="62" t="s">
        <v>78</v>
      </c>
      <c r="AC2" s="62" t="s">
        <v>79</v>
      </c>
      <c r="AD2" s="62" t="s">
        <v>80</v>
      </c>
      <c r="AE2" s="62" t="s">
        <v>81</v>
      </c>
      <c r="AF2" s="62" t="s">
        <v>82</v>
      </c>
      <c r="AG2" s="62" t="s">
        <v>83</v>
      </c>
      <c r="AH2" s="62" t="s">
        <v>84</v>
      </c>
      <c r="AI2" s="63" t="s">
        <v>57</v>
      </c>
      <c r="AJ2" s="64" t="s">
        <v>85</v>
      </c>
      <c r="AK2" s="64" t="s">
        <v>86</v>
      </c>
      <c r="AL2" s="65" t="s">
        <v>87</v>
      </c>
      <c r="AM2" s="65" t="s">
        <v>88</v>
      </c>
      <c r="AN2" s="56"/>
    </row>
    <row r="3" customFormat="false" ht="12.8" hidden="false" customHeight="false" outlineLevel="0" collapsed="false">
      <c r="A3" s="66"/>
      <c r="B3" s="67"/>
      <c r="C3" s="67"/>
      <c r="D3" s="67"/>
      <c r="E3" s="66"/>
      <c r="F3" s="66"/>
      <c r="G3" s="68" t="s">
        <v>89</v>
      </c>
      <c r="H3" s="69" t="n">
        <f aca="false">CVSS_SCORE(G3)</f>
        <v>4.4</v>
      </c>
      <c r="I3" s="69" t="str">
        <f aca="false">INDEX(_lookup_heatmap_str, COUNTIF(_lookup_heatmap_val, "&gt;"&amp;H3)+1)</f>
        <v>Medium</v>
      </c>
      <c r="J3" s="69" t="str">
        <f aca="false">GET_CVSS_ELEMENT($G3,"AV")</f>
        <v>Local (L)</v>
      </c>
      <c r="K3" s="69" t="str">
        <f aca="false">GET_CVSS_ELEMENT($G3,"AC")</f>
        <v>Low (L)</v>
      </c>
      <c r="L3" s="69" t="str">
        <f aca="false">GET_CVSS_ELEMENT($G3,"AT")</f>
        <v>Present (P)</v>
      </c>
      <c r="M3" s="69" t="str">
        <f aca="false">GET_CVSS_ELEMENT($G3,"PR")</f>
        <v>Low (L)</v>
      </c>
      <c r="N3" s="69" t="str">
        <f aca="false">GET_CVSS_ELEMENT($G3,"UI")</f>
        <v>Passive (P)</v>
      </c>
      <c r="O3" s="69" t="str">
        <f aca="false">GET_CVSS_ELEMENT($G3,"VC")</f>
        <v>High (H)</v>
      </c>
      <c r="P3" s="69" t="str">
        <f aca="false">GET_CVSS_ELEMENT($G3,"VI")</f>
        <v>Low (L)</v>
      </c>
      <c r="Q3" s="69" t="str">
        <f aca="false">GET_CVSS_ELEMENT($G3,"VA")</f>
        <v>Low (L)</v>
      </c>
      <c r="R3" s="69" t="str">
        <f aca="false">GET_CVSS_ELEMENT($G3,"SC")</f>
        <v>Low (L)</v>
      </c>
      <c r="S3" s="69" t="str">
        <f aca="false">GET_CVSS_ELEMENT($G3,"SI")</f>
        <v>Low (L)</v>
      </c>
      <c r="T3" s="69" t="str">
        <f aca="false">GET_CVSS_ELEMENT($G3,"SA")</f>
        <v>Low (L)</v>
      </c>
      <c r="U3" s="70" t="n">
        <v>1</v>
      </c>
      <c r="V3" s="71" t="n">
        <v>0.6</v>
      </c>
      <c r="W3" s="72" t="str">
        <f aca="false">GETEXPLOIT(V3,U3)</f>
        <v>Attacked (A)</v>
      </c>
      <c r="X3" s="73" t="str">
        <f aca="false">INDEX(_map_AV_MAV, MATCH(J3, INDEX(_map_AV_MAV,,1), 0), 2)</f>
        <v>Local (L)</v>
      </c>
      <c r="Y3" s="73" t="str">
        <f aca="false">INDEX(_map_AC_MAC, MATCH(K3, INDEX(_map_AC_MAC,,1), 0), 2)</f>
        <v>Low (L)</v>
      </c>
      <c r="Z3" s="74" t="str">
        <f aca="false">L3</f>
        <v>Present (P)</v>
      </c>
      <c r="AA3" s="74" t="str">
        <f aca="false">M3</f>
        <v>Low (L)</v>
      </c>
      <c r="AB3" s="74" t="str">
        <f aca="false">N3</f>
        <v>Passive (P)</v>
      </c>
      <c r="AC3" s="74" t="str">
        <f aca="false">O3</f>
        <v>High (H)</v>
      </c>
      <c r="AD3" s="74" t="str">
        <f aca="false">P3</f>
        <v>Low (L)</v>
      </c>
      <c r="AE3" s="74" t="str">
        <f aca="false">Q3</f>
        <v>Low (L)</v>
      </c>
      <c r="AF3" s="74" t="str">
        <f aca="false">R3</f>
        <v>Low (L)</v>
      </c>
      <c r="AG3" s="74" t="str">
        <f aca="false">S3</f>
        <v>Low (L)</v>
      </c>
      <c r="AH3" s="74" t="str">
        <f aca="false">T3</f>
        <v>Low (L)</v>
      </c>
      <c r="AI3" s="75" t="str">
        <f aca="false">GET_CVSS4_VECTOR_STR(X3,Y3,Z3,AA3,AB3,AC3,AD3,AE3,AF3,AG3,AH3,W3)</f>
        <v>CVSS:4.0/AV:L/AC:L/AT:P/PR:L/UI:P/VC:H/VI:L/VA:L/SC:L/SI:L/SA:L/E:A</v>
      </c>
      <c r="AJ3" s="69" t="n">
        <f aca="false">CVSS_SCORE(AI3)</f>
        <v>4.4</v>
      </c>
      <c r="AK3" s="69" t="str">
        <f aca="false">INDEX(_lookup_heatmap_str, COUNTIF(_lookup_heatmap_val, "&gt;"&amp;AJ3)+1)</f>
        <v>Medium</v>
      </c>
      <c r="AL3" s="76" t="s">
        <v>20</v>
      </c>
      <c r="AM3" s="77"/>
      <c r="AN3" s="78" t="str">
        <f aca="false">INDEX(_lookup_SafetyHeatMap,MATCH(AK3,_lookup_heatmap_str,0)+1,MATCH(AL3,_lookup_SafetyRating,0)+3)</f>
        <v>Controlled</v>
      </c>
    </row>
  </sheetData>
  <autoFilter ref="A2:AM3"/>
  <mergeCells count="7">
    <mergeCell ref="A1:F1"/>
    <mergeCell ref="G1:T1"/>
    <mergeCell ref="U1:W1"/>
    <mergeCell ref="X1:AH1"/>
    <mergeCell ref="AI1:AK1"/>
    <mergeCell ref="AL1:AM1"/>
    <mergeCell ref="AN1:AN2"/>
  </mergeCells>
  <conditionalFormatting sqref="AN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5">
    <dataValidation allowBlank="true" errorStyle="stop" operator="equal" showDropDown="false" showErrorMessage="true" showInputMessage="false" sqref="G1:G995 U1:U2 A2:F3 H2:T3 V3 AI3:AK3 AM3:AN3 U4:U995" type="none">
      <formula1>0</formula1>
      <formula2>0</formula2>
    </dataValidation>
    <dataValidation allowBlank="true" errorStyle="stop" operator="equal" showDropDown="false" showErrorMessage="true" showInputMessage="false" sqref="X3" type="list">
      <formula1>_lookup_AV</formula1>
      <formula2>0</formula2>
    </dataValidation>
    <dataValidation allowBlank="true" errorStyle="stop" operator="equal" showDropDown="false" showErrorMessage="true" showInputMessage="false" sqref="Y3" type="list">
      <formula1>_lookup_AC</formula1>
      <formula2>0</formula2>
    </dataValidation>
    <dataValidation allowBlank="true" errorStyle="stop" operator="equal" showDropDown="false" showErrorMessage="true" showInputMessage="false" sqref="Z3" type="list">
      <formula1>_lookup_AT</formula1>
      <formula2>0</formula2>
    </dataValidation>
    <dataValidation allowBlank="true" errorStyle="stop" operator="equal" showDropDown="false" showErrorMessage="true" showInputMessage="false" sqref="AA3" type="list">
      <formula1>_lookup_PR</formula1>
      <formula2>0</formula2>
    </dataValidation>
    <dataValidation allowBlank="true" errorStyle="stop" operator="equal" showDropDown="false" showErrorMessage="true" showInputMessage="false" sqref="AB3" type="list">
      <formula1>_lookup_UI</formula1>
      <formula2>0</formula2>
    </dataValidation>
    <dataValidation allowBlank="true" errorStyle="stop" operator="equal" showDropDown="false" showErrorMessage="true" showInputMessage="false" sqref="AC3" type="list">
      <formula1>_lookup_VC</formula1>
      <formula2>0</formula2>
    </dataValidation>
    <dataValidation allowBlank="true" errorStyle="stop" operator="equal" showDropDown="false" showErrorMessage="true" showInputMessage="false" sqref="AD3" type="list">
      <formula1>_lookup_VI</formula1>
      <formula2>0</formula2>
    </dataValidation>
    <dataValidation allowBlank="true" errorStyle="stop" operator="equal" showDropDown="false" showErrorMessage="true" showInputMessage="false" sqref="AE3" type="list">
      <formula1>_lookup_VA</formula1>
      <formula2>0</formula2>
    </dataValidation>
    <dataValidation allowBlank="true" errorStyle="stop" operator="equal" showDropDown="false" showErrorMessage="true" showInputMessage="false" sqref="AF3" type="list">
      <formula1>_lookup_SC</formula1>
      <formula2>0</formula2>
    </dataValidation>
    <dataValidation allowBlank="true" errorStyle="stop" operator="equal" showDropDown="false" showErrorMessage="true" showInputMessage="false" sqref="AG3" type="list">
      <formula1>_lookup_MSI</formula1>
      <formula2>0</formula2>
    </dataValidation>
    <dataValidation allowBlank="true" errorStyle="stop" operator="equal" showDropDown="false" showErrorMessage="true" showInputMessage="false" sqref="AH3" type="list">
      <formula1>_lookup_MSA</formula1>
      <formula2>0</formula2>
    </dataValidation>
    <dataValidation allowBlank="true" errorStyle="stop" operator="equal" showDropDown="false" showErrorMessage="true" showInputMessage="false" sqref="AL3" type="list">
      <formula1>_lookup_SafetyRating</formula1>
      <formula2>0</formula2>
    </dataValidation>
    <dataValidation allowBlank="true" errorStyle="stop" operator="equal" showDropDown="false" showErrorMessage="true" showInputMessage="false" sqref="U3" type="none">
      <formula1>_lookup_CWSS_AU</formula1>
      <formula2>0</formula2>
    </dataValidation>
    <dataValidation allowBlank="true" errorStyle="stop" operator="equal" showDropDown="false" showErrorMessage="true" showInputMessage="false" sqref="W3" type="list">
      <formula1>_lookup_E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ACA6"/>
    <pageSetUpPr fitToPage="false"/>
  </sheetPr>
  <dimension ref="A1:XFD12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selection pane="topLeft" activeCell="Q8" activeCellId="0" sqref="Q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44" width="12.38"/>
    <col collapsed="false" customWidth="true" hidden="false" outlineLevel="0" max="2" min="2" style="45" width="50.36"/>
    <col collapsed="false" customWidth="true" hidden="false" outlineLevel="0" max="3" min="3" style="45" width="37.69"/>
    <col collapsed="false" customWidth="true" hidden="false" outlineLevel="0" max="4" min="4" style="45" width="21.88"/>
    <col collapsed="false" customWidth="true" hidden="false" outlineLevel="0" max="5" min="5" style="44" width="22.68"/>
    <col collapsed="false" customWidth="true" hidden="false" outlineLevel="0" max="6" min="6" style="44" width="22.02"/>
    <col collapsed="false" customWidth="true" hidden="false" outlineLevel="0" max="15" min="7" style="44" width="14.6"/>
    <col collapsed="false" customWidth="true" hidden="false" outlineLevel="0" max="16" min="16" style="44" width="16.31"/>
    <col collapsed="false" customWidth="true" hidden="false" outlineLevel="0" max="22" min="17" style="44" width="14.6"/>
    <col collapsed="false" customWidth="false" hidden="false" outlineLevel="0" max="23" min="23" style="45" width="11.54"/>
    <col collapsed="false" customWidth="true" hidden="false" outlineLevel="0" max="24" min="24" style="45" width="12.23"/>
    <col collapsed="false" customWidth="true" hidden="false" outlineLevel="0" max="25" min="25" style="45" width="14.06"/>
    <col collapsed="false" customWidth="true" hidden="false" outlineLevel="0" max="26" min="26" style="49" width="13.75"/>
    <col collapsed="false" customWidth="true" hidden="false" outlineLevel="0" max="27" min="27" style="49" width="12.66"/>
    <col collapsed="false" customWidth="true" hidden="false" outlineLevel="0" max="28" min="28" style="47" width="13.66"/>
    <col collapsed="false" customWidth="true" hidden="false" outlineLevel="0" max="29" min="29" style="47" width="38.33"/>
    <col collapsed="false" customWidth="true" hidden="false" outlineLevel="0" max="30" min="30" style="47" width="15.71"/>
    <col collapsed="false" customWidth="false" hidden="false" outlineLevel="0" max="35" min="31" style="47" width="11.53"/>
  </cols>
  <sheetData>
    <row r="1" customFormat="false" ht="23.85" hidden="false" customHeight="true" outlineLevel="0" collapsed="false">
      <c r="A1" s="79" t="s">
        <v>46</v>
      </c>
      <c r="B1" s="79"/>
      <c r="C1" s="79"/>
      <c r="D1" s="79"/>
      <c r="E1" s="79"/>
      <c r="F1" s="79"/>
      <c r="G1" s="80" t="s">
        <v>90</v>
      </c>
      <c r="H1" s="80"/>
      <c r="I1" s="80"/>
      <c r="J1" s="80"/>
      <c r="K1" s="80"/>
      <c r="L1" s="81" t="s">
        <v>91</v>
      </c>
      <c r="M1" s="81"/>
      <c r="N1" s="81"/>
      <c r="O1" s="81"/>
      <c r="P1" s="81"/>
      <c r="Q1" s="81"/>
      <c r="R1" s="82" t="s">
        <v>92</v>
      </c>
      <c r="S1" s="82"/>
      <c r="T1" s="82"/>
      <c r="U1" s="82"/>
      <c r="V1" s="82"/>
      <c r="W1" s="83" t="s">
        <v>93</v>
      </c>
      <c r="X1" s="83"/>
      <c r="Y1" s="83"/>
      <c r="Z1" s="83"/>
      <c r="AA1" s="83"/>
      <c r="AB1" s="84" t="s">
        <v>50</v>
      </c>
      <c r="AC1" s="84"/>
      <c r="AD1" s="56" t="s">
        <v>51</v>
      </c>
      <c r="AE1" s="57"/>
      <c r="AF1" s="57"/>
      <c r="AG1" s="57"/>
      <c r="AH1" s="57"/>
      <c r="AI1" s="57"/>
    </row>
    <row r="2" customFormat="false" ht="46.25" hidden="false" customHeight="false" outlineLevel="0" collapsed="false">
      <c r="A2" s="85" t="s">
        <v>52</v>
      </c>
      <c r="B2" s="85" t="s">
        <v>53</v>
      </c>
      <c r="C2" s="85" t="s">
        <v>54</v>
      </c>
      <c r="D2" s="85" t="s">
        <v>55</v>
      </c>
      <c r="E2" s="85" t="s">
        <v>94</v>
      </c>
      <c r="F2" s="85" t="s">
        <v>95</v>
      </c>
      <c r="G2" s="86" t="s">
        <v>96</v>
      </c>
      <c r="H2" s="86" t="s">
        <v>97</v>
      </c>
      <c r="I2" s="86" t="s">
        <v>98</v>
      </c>
      <c r="J2" s="86" t="s">
        <v>99</v>
      </c>
      <c r="K2" s="86" t="s">
        <v>100</v>
      </c>
      <c r="L2" s="87" t="s">
        <v>101</v>
      </c>
      <c r="M2" s="87" t="s">
        <v>102</v>
      </c>
      <c r="N2" s="87" t="s">
        <v>103</v>
      </c>
      <c r="O2" s="87" t="s">
        <v>104</v>
      </c>
      <c r="P2" s="87" t="s">
        <v>105</v>
      </c>
      <c r="Q2" s="87" t="s">
        <v>106</v>
      </c>
      <c r="R2" s="88" t="s">
        <v>107</v>
      </c>
      <c r="S2" s="88" t="s">
        <v>108</v>
      </c>
      <c r="T2" s="88" t="s">
        <v>109</v>
      </c>
      <c r="U2" s="88" t="s">
        <v>110</v>
      </c>
      <c r="V2" s="88" t="s">
        <v>111</v>
      </c>
      <c r="W2" s="89" t="s">
        <v>112</v>
      </c>
      <c r="X2" s="89" t="s">
        <v>113</v>
      </c>
      <c r="Y2" s="89" t="s">
        <v>114</v>
      </c>
      <c r="Z2" s="89" t="s">
        <v>115</v>
      </c>
      <c r="AA2" s="89" t="s">
        <v>116</v>
      </c>
      <c r="AB2" s="90" t="s">
        <v>87</v>
      </c>
      <c r="AC2" s="90" t="s">
        <v>88</v>
      </c>
      <c r="AD2" s="56"/>
    </row>
    <row r="3" s="15" customFormat="true" ht="12.8" hidden="false" customHeight="false" outlineLevel="0" collapsed="false">
      <c r="A3" s="91"/>
      <c r="B3" s="92" t="s">
        <v>117</v>
      </c>
      <c r="C3" s="92"/>
      <c r="D3" s="92" t="s">
        <v>118</v>
      </c>
      <c r="E3" s="93" t="s">
        <v>119</v>
      </c>
      <c r="F3" s="91"/>
      <c r="G3" s="93" t="s">
        <v>120</v>
      </c>
      <c r="H3" s="93" t="s">
        <v>121</v>
      </c>
      <c r="I3" s="94" t="s">
        <v>122</v>
      </c>
      <c r="J3" s="93" t="s">
        <v>123</v>
      </c>
      <c r="K3" s="94" t="s">
        <v>124</v>
      </c>
      <c r="L3" s="93" t="s">
        <v>123</v>
      </c>
      <c r="M3" s="93" t="s">
        <v>122</v>
      </c>
      <c r="N3" s="93" t="s">
        <v>125</v>
      </c>
      <c r="O3" s="93" t="s">
        <v>123</v>
      </c>
      <c r="P3" s="93" t="s">
        <v>126</v>
      </c>
      <c r="Q3" s="93" t="s">
        <v>127</v>
      </c>
      <c r="R3" s="93" t="s">
        <v>120</v>
      </c>
      <c r="S3" s="93" t="s">
        <v>128</v>
      </c>
      <c r="T3" s="93" t="s">
        <v>129</v>
      </c>
      <c r="U3" s="93" t="s">
        <v>123</v>
      </c>
      <c r="V3" s="93" t="s">
        <v>130</v>
      </c>
      <c r="W3" s="95" t="n">
        <f aca="false">CALCULATEBASEFINDING(G3,H3,I3,J3,K3)</f>
        <v>68</v>
      </c>
      <c r="X3" s="95" t="n">
        <f aca="false">CALCULATEATTACKSURFACE(L3,M3,N3,O3,P3,Q3)</f>
        <v>0.82</v>
      </c>
      <c r="Y3" s="95" t="n">
        <f aca="false">CALCULATEENVIRONMENTAL(R3,S3,T3,U3,V3)</f>
        <v>0.8</v>
      </c>
      <c r="Z3" s="95" t="n">
        <f aca="false">W3*X3*Y3</f>
        <v>44.608</v>
      </c>
      <c r="AA3" s="96" t="str">
        <f aca="false">INDEX(_lookup_heatmap_str, COUNTIF(_lookup_heatmap_CWSS_val, "&gt;"&amp;Z3)+1)</f>
        <v>Medium</v>
      </c>
      <c r="AB3" s="97" t="s">
        <v>20</v>
      </c>
      <c r="AC3" s="98"/>
      <c r="AD3" s="99" t="str">
        <f aca="false">INDEX(_lookup_SafetyHeatMap,MATCH(AA3,_lookup_heatmap_str,0)+1,MATCH(AB3,_lookup_SafetyRating,0)+3)</f>
        <v>Controlled</v>
      </c>
      <c r="AE3" s="100"/>
      <c r="AF3" s="100"/>
      <c r="AG3" s="100"/>
      <c r="AH3" s="100"/>
      <c r="AI3" s="100"/>
      <c r="XEX3" s="0"/>
      <c r="XEY3" s="0"/>
      <c r="XEZ3" s="0"/>
      <c r="XFA3" s="0"/>
      <c r="XFB3" s="0"/>
      <c r="XFC3" s="0"/>
      <c r="XFD3" s="0"/>
    </row>
    <row r="4" customFormat="false" ht="12.8" hidden="false" customHeight="false" outlineLevel="0" collapsed="false">
      <c r="A4" s="91"/>
      <c r="B4" s="92"/>
      <c r="C4" s="92"/>
      <c r="D4" s="92"/>
      <c r="E4" s="93"/>
      <c r="F4" s="91"/>
      <c r="G4" s="93"/>
      <c r="H4" s="93"/>
      <c r="I4" s="94"/>
      <c r="J4" s="93"/>
      <c r="K4" s="94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5"/>
      <c r="X4" s="95"/>
      <c r="Y4" s="95"/>
      <c r="Z4" s="95"/>
      <c r="AA4" s="96"/>
      <c r="AB4" s="97"/>
      <c r="AC4" s="98"/>
      <c r="AD4" s="99"/>
      <c r="AE4" s="100"/>
      <c r="AF4" s="100"/>
      <c r="AG4" s="100"/>
      <c r="AH4" s="100"/>
      <c r="AI4" s="100"/>
    </row>
    <row r="5" customFormat="false" ht="12.8" hidden="false" customHeight="false" outlineLevel="0" collapsed="false">
      <c r="A5" s="91"/>
      <c r="B5" s="92"/>
      <c r="C5" s="92"/>
      <c r="D5" s="92"/>
      <c r="E5" s="93"/>
      <c r="F5" s="91"/>
      <c r="G5" s="93"/>
      <c r="H5" s="93"/>
      <c r="I5" s="94"/>
      <c r="J5" s="93"/>
      <c r="K5" s="94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5"/>
      <c r="X5" s="95"/>
      <c r="Y5" s="95"/>
      <c r="Z5" s="95"/>
      <c r="AA5" s="96"/>
      <c r="AB5" s="97"/>
      <c r="AC5" s="98"/>
      <c r="AD5" s="99"/>
      <c r="AE5" s="100"/>
      <c r="AF5" s="100"/>
      <c r="AG5" s="100"/>
      <c r="AH5" s="100"/>
      <c r="AI5" s="100"/>
    </row>
    <row r="6" customFormat="false" ht="12.8" hidden="false" customHeight="false" outlineLevel="0" collapsed="false">
      <c r="A6" s="91"/>
      <c r="B6" s="92"/>
      <c r="C6" s="92"/>
      <c r="D6" s="92"/>
      <c r="E6" s="93"/>
      <c r="F6" s="91"/>
      <c r="G6" s="93"/>
      <c r="H6" s="93"/>
      <c r="I6" s="94"/>
      <c r="J6" s="93"/>
      <c r="K6" s="101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5"/>
      <c r="X6" s="95"/>
      <c r="Y6" s="95"/>
      <c r="Z6" s="95"/>
      <c r="AA6" s="96"/>
      <c r="AB6" s="97"/>
      <c r="AC6" s="98"/>
      <c r="AD6" s="99"/>
      <c r="AE6" s="100"/>
      <c r="AF6" s="100"/>
      <c r="AG6" s="100"/>
      <c r="AH6" s="100"/>
      <c r="AI6" s="100"/>
    </row>
    <row r="7" customFormat="false" ht="12.8" hidden="false" customHeight="false" outlineLevel="0" collapsed="false">
      <c r="A7" s="91"/>
      <c r="B7" s="92"/>
      <c r="C7" s="92"/>
      <c r="D7" s="92"/>
      <c r="E7" s="93"/>
      <c r="F7" s="91"/>
      <c r="G7" s="93"/>
      <c r="H7" s="93"/>
      <c r="I7" s="94"/>
      <c r="J7" s="93"/>
      <c r="K7" s="94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5"/>
      <c r="X7" s="95"/>
      <c r="Y7" s="95"/>
      <c r="Z7" s="95"/>
      <c r="AA7" s="96"/>
      <c r="AB7" s="97"/>
      <c r="AC7" s="98"/>
      <c r="AD7" s="99"/>
      <c r="AE7" s="100"/>
      <c r="AF7" s="100"/>
      <c r="AG7" s="100"/>
      <c r="AH7" s="100"/>
      <c r="AI7" s="100"/>
    </row>
    <row r="8" customFormat="false" ht="12.8" hidden="false" customHeight="false" outlineLevel="0" collapsed="false">
      <c r="A8" s="91"/>
      <c r="B8" s="92"/>
      <c r="C8" s="92"/>
      <c r="D8" s="92"/>
      <c r="E8" s="93"/>
      <c r="F8" s="91"/>
      <c r="G8" s="93"/>
      <c r="H8" s="93"/>
      <c r="I8" s="94"/>
      <c r="J8" s="93"/>
      <c r="K8" s="94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5"/>
      <c r="X8" s="95"/>
      <c r="Y8" s="95"/>
      <c r="Z8" s="95"/>
      <c r="AA8" s="96"/>
      <c r="AB8" s="97"/>
      <c r="AC8" s="98"/>
      <c r="AD8" s="99"/>
      <c r="AE8" s="100"/>
      <c r="AF8" s="100"/>
      <c r="AG8" s="100"/>
      <c r="AH8" s="100"/>
      <c r="AI8" s="100"/>
    </row>
    <row r="9" customFormat="false" ht="12.8" hidden="false" customHeight="false" outlineLevel="0" collapsed="false">
      <c r="A9" s="91"/>
      <c r="B9" s="92"/>
      <c r="C9" s="92"/>
      <c r="D9" s="92"/>
      <c r="E9" s="93"/>
      <c r="F9" s="91"/>
      <c r="G9" s="93"/>
      <c r="H9" s="93"/>
      <c r="I9" s="94"/>
      <c r="J9" s="93"/>
      <c r="K9" s="94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5"/>
      <c r="X9" s="95"/>
      <c r="Y9" s="95"/>
      <c r="Z9" s="95"/>
      <c r="AA9" s="96"/>
      <c r="AB9" s="97"/>
      <c r="AC9" s="98"/>
      <c r="AD9" s="99"/>
      <c r="AE9" s="100"/>
      <c r="AF9" s="100"/>
      <c r="AG9" s="100"/>
      <c r="AH9" s="100"/>
      <c r="AI9" s="100"/>
    </row>
    <row r="10" customFormat="false" ht="12.8" hidden="false" customHeight="false" outlineLevel="0" collapsed="false">
      <c r="A10" s="91"/>
      <c r="B10" s="92"/>
      <c r="C10" s="92"/>
      <c r="D10" s="92"/>
      <c r="E10" s="93"/>
      <c r="F10" s="91"/>
      <c r="G10" s="93"/>
      <c r="H10" s="93"/>
      <c r="I10" s="94"/>
      <c r="J10" s="93"/>
      <c r="K10" s="94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5"/>
      <c r="X10" s="95"/>
      <c r="Y10" s="95"/>
      <c r="Z10" s="95"/>
      <c r="AA10" s="96"/>
      <c r="AB10" s="97"/>
      <c r="AC10" s="98"/>
      <c r="AD10" s="99"/>
      <c r="AE10" s="100"/>
      <c r="AF10" s="100"/>
      <c r="AG10" s="100"/>
      <c r="AH10" s="100"/>
      <c r="AI10" s="100"/>
    </row>
    <row r="11" customFormat="false" ht="12.8" hidden="false" customHeight="false" outlineLevel="0" collapsed="false">
      <c r="A11" s="91"/>
      <c r="B11" s="92"/>
      <c r="C11" s="92"/>
      <c r="D11" s="92"/>
      <c r="E11" s="93"/>
      <c r="F11" s="91"/>
      <c r="G11" s="93"/>
      <c r="H11" s="93"/>
      <c r="I11" s="94"/>
      <c r="J11" s="93"/>
      <c r="K11" s="94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5"/>
      <c r="X11" s="95"/>
      <c r="Y11" s="95"/>
      <c r="Z11" s="95"/>
      <c r="AA11" s="96"/>
      <c r="AB11" s="97"/>
      <c r="AC11" s="98"/>
      <c r="AD11" s="99"/>
      <c r="AE11" s="100"/>
      <c r="AF11" s="100"/>
      <c r="AG11" s="100"/>
      <c r="AH11" s="100"/>
      <c r="AI11" s="100"/>
    </row>
    <row r="12" customFormat="false" ht="12.8" hidden="false" customHeight="false" outlineLevel="0" collapsed="false">
      <c r="A12" s="91"/>
      <c r="B12" s="92"/>
      <c r="C12" s="92"/>
      <c r="D12" s="92"/>
      <c r="E12" s="93"/>
      <c r="F12" s="91"/>
      <c r="G12" s="93"/>
      <c r="H12" s="93"/>
      <c r="I12" s="94"/>
      <c r="J12" s="93"/>
      <c r="K12" s="94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5"/>
      <c r="X12" s="95"/>
      <c r="Y12" s="95"/>
      <c r="Z12" s="95"/>
      <c r="AA12" s="96"/>
      <c r="AB12" s="97"/>
      <c r="AC12" s="98"/>
      <c r="AD12" s="99"/>
      <c r="AE12" s="100"/>
      <c r="AF12" s="100"/>
      <c r="AG12" s="100"/>
      <c r="AH12" s="100"/>
      <c r="AI12" s="100"/>
    </row>
  </sheetData>
  <mergeCells count="7">
    <mergeCell ref="A1:F1"/>
    <mergeCell ref="G1:K1"/>
    <mergeCell ref="L1:Q1"/>
    <mergeCell ref="R1:V1"/>
    <mergeCell ref="W1:AA1"/>
    <mergeCell ref="AB1:AC1"/>
    <mergeCell ref="AD1:AD2"/>
  </mergeCells>
  <conditionalFormatting sqref="AD3:AD12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8">
    <dataValidation allowBlank="true" errorStyle="stop" operator="equal" showDropDown="false" showErrorMessage="true" showInputMessage="false" sqref="A2:F2 A3:D12 F3:F12 W3:AA12 AC3:AD12" type="none">
      <formula1>0</formula1>
      <formula2>0</formula2>
    </dataValidation>
    <dataValidation allowBlank="true" errorStyle="stop" operator="equal" showDropDown="false" showErrorMessage="true" showInputMessage="false" sqref="AB3:AB12" type="list">
      <formula1>_lookup_SafetyRating</formula1>
      <formula2>0</formula2>
    </dataValidation>
    <dataValidation allowBlank="true" errorStyle="stop" operator="equal" showDropDown="false" showErrorMessage="true" showInputMessage="false" sqref="G3:G12" type="list">
      <formula1>_lookup_CWSS_TI</formula1>
      <formula2>0</formula2>
    </dataValidation>
    <dataValidation allowBlank="true" errorStyle="stop" operator="equal" showDropDown="false" showErrorMessage="true" showInputMessage="false" sqref="J3:J12" type="list">
      <formula1>_lookup_CWSS_IC</formula1>
      <formula2>0</formula2>
    </dataValidation>
    <dataValidation allowBlank="true" errorStyle="stop" operator="equal" showDropDown="false" showErrorMessage="true" showInputMessage="false" sqref="N3:N12" type="list">
      <formula1>_lookup_CWSS_AV</formula1>
      <formula2>0</formula2>
    </dataValidation>
    <dataValidation allowBlank="true" errorStyle="stop" operator="equal" showDropDown="false" showErrorMessage="true" showInputMessage="false" sqref="H3:H12 L3:L12" type="list">
      <formula1>_lookup_CWSS_AP</formula1>
      <formula2>0</formula2>
    </dataValidation>
    <dataValidation allowBlank="true" errorStyle="stop" operator="equal" showDropDown="false" showErrorMessage="true" showInputMessage="false" sqref="R3:R12" type="list">
      <formula1>_lookup_CWSS_BI</formula1>
      <formula2>0</formula2>
    </dataValidation>
    <dataValidation allowBlank="true" errorStyle="stop" operator="equal" showDropDown="false" showErrorMessage="true" showInputMessage="false" sqref="S3:S12" type="list">
      <formula1>_lookup_CWSS_DI</formula1>
      <formula2>0</formula2>
    </dataValidation>
    <dataValidation allowBlank="true" errorStyle="stop" operator="equal" showDropDown="false" showErrorMessage="true" showInputMessage="false" sqref="E3:E12" type="list">
      <formula1>_lookup_STRIDE</formula1>
      <formula2>0</formula2>
    </dataValidation>
    <dataValidation allowBlank="true" errorStyle="stop" operator="equal" showDropDown="false" showErrorMessage="true" showInputMessage="false" sqref="I3:I12" type="list">
      <formula1>_lookup_CWSS_AL</formula1>
      <formula2>0</formula2>
    </dataValidation>
    <dataValidation allowBlank="true" errorStyle="stop" operator="equal" showDropDown="false" showErrorMessage="true" showInputMessage="false" sqref="K3:K12" type="list">
      <formula1>_lookup_CWSS_FC</formula1>
      <formula2>0</formula2>
    </dataValidation>
    <dataValidation allowBlank="true" errorStyle="stop" operator="equal" showDropDown="false" showErrorMessage="true" showInputMessage="false" sqref="M3:M12" type="list">
      <formula1>_lookup_CWSS_RL</formula1>
      <formula2>0</formula2>
    </dataValidation>
    <dataValidation allowBlank="true" errorStyle="stop" operator="equal" showDropDown="false" showErrorMessage="true" showInputMessage="false" sqref="Q3:Q12" type="list">
      <formula1>_lookup_CWSS_SC</formula1>
      <formula2>0</formula2>
    </dataValidation>
    <dataValidation allowBlank="true" errorStyle="stop" operator="equal" showDropDown="false" showErrorMessage="true" showInputMessage="false" sqref="P3:P12" type="list">
      <formula1>_lookup_CWSS_IN</formula1>
      <formula2>0</formula2>
    </dataValidation>
    <dataValidation allowBlank="true" errorStyle="stop" operator="equal" showDropDown="false" showErrorMessage="true" showInputMessage="false" sqref="O3:O12" type="list">
      <formula1>_lookup_CWSS_AS</formula1>
      <formula2>0</formula2>
    </dataValidation>
    <dataValidation allowBlank="true" errorStyle="stop" operator="equal" showDropDown="false" showErrorMessage="true" showInputMessage="false" sqref="T3:T12" type="list">
      <formula1>_lookup_CWSS_EX</formula1>
      <formula2>0</formula2>
    </dataValidation>
    <dataValidation allowBlank="true" errorStyle="stop" operator="equal" showDropDown="false" showErrorMessage="true" showInputMessage="false" sqref="V3:V12" type="list">
      <formula1>_lookup_CWSS_P</formula1>
      <formula2>0</formula2>
    </dataValidation>
    <dataValidation allowBlank="true" errorStyle="stop" operator="equal" showDropDown="false" showErrorMessage="true" showInputMessage="false" sqref="U3:U12" type="list">
      <formula1>_lookup_CWSS_EC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E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7" activeCellId="0" sqref="H47"/>
    </sheetView>
  </sheetViews>
  <sheetFormatPr defaultColWidth="11.53515625" defaultRowHeight="12.8" zeroHeight="false" outlineLevelRow="0" outlineLevelCol="0"/>
  <cols>
    <col collapsed="false" customWidth="false" hidden="false" outlineLevel="0" max="2" min="1" style="1" width="11.53"/>
    <col collapsed="false" customWidth="true" hidden="false" outlineLevel="0" max="3" min="3" style="1" width="20.49"/>
    <col collapsed="false" customWidth="true" hidden="false" outlineLevel="0" max="4" min="4" style="1" width="22.58"/>
    <col collapsed="false" customWidth="false" hidden="false" outlineLevel="0" max="16372" min="5" style="1" width="11.53"/>
  </cols>
  <sheetData>
    <row r="1" customFormat="false" ht="17.4" hidden="false" customHeight="true" outlineLevel="0" collapsed="false">
      <c r="A1" s="7"/>
      <c r="B1" s="7"/>
      <c r="C1" s="7"/>
      <c r="D1" s="7"/>
      <c r="E1" s="7"/>
    </row>
    <row r="2" customFormat="false" ht="17.4" hidden="false" customHeight="true" outlineLevel="0" collapsed="false">
      <c r="A2" s="7"/>
      <c r="B2" s="102" t="s">
        <v>31</v>
      </c>
      <c r="C2" s="102"/>
      <c r="D2" s="102"/>
      <c r="E2" s="7"/>
    </row>
    <row r="3" customFormat="false" ht="17.4" hidden="false" customHeight="true" outlineLevel="0" collapsed="false">
      <c r="A3" s="7"/>
      <c r="B3" s="103" t="s">
        <v>131</v>
      </c>
      <c r="C3" s="103" t="s">
        <v>132</v>
      </c>
      <c r="D3" s="103" t="s">
        <v>133</v>
      </c>
      <c r="E3" s="7"/>
    </row>
    <row r="4" customFormat="false" ht="17.4" hidden="false" customHeight="true" outlineLevel="0" collapsed="false">
      <c r="A4" s="7"/>
      <c r="B4" s="104" t="s">
        <v>134</v>
      </c>
      <c r="C4" s="105" t="s">
        <v>135</v>
      </c>
      <c r="D4" s="105" t="str">
        <f aca="false">C4&amp;" ("&amp;B4&amp;")"</f>
        <v>Yes (Y)</v>
      </c>
      <c r="E4" s="7"/>
    </row>
    <row r="5" customFormat="false" ht="17.4" hidden="false" customHeight="true" outlineLevel="0" collapsed="false">
      <c r="A5" s="7"/>
      <c r="B5" s="106" t="s">
        <v>136</v>
      </c>
      <c r="C5" s="107" t="s">
        <v>137</v>
      </c>
      <c r="D5" s="105" t="str">
        <f aca="false">C5&amp;" ("&amp;B5&amp;")"</f>
        <v>No (N)</v>
      </c>
      <c r="E5" s="7"/>
    </row>
    <row r="6" customFormat="false" ht="17.4" hidden="false" customHeight="true" outlineLevel="0" collapsed="false">
      <c r="A6" s="7"/>
      <c r="B6" s="7"/>
      <c r="C6" s="7"/>
      <c r="D6" s="7"/>
      <c r="E6" s="7"/>
    </row>
    <row r="7" customFormat="false" ht="17.4" hidden="false" customHeight="true" outlineLevel="0" collapsed="false">
      <c r="A7" s="7"/>
      <c r="B7" s="102" t="s">
        <v>94</v>
      </c>
      <c r="C7" s="102"/>
      <c r="D7" s="102"/>
      <c r="E7" s="7"/>
    </row>
    <row r="8" customFormat="false" ht="17.4" hidden="false" customHeight="true" outlineLevel="0" collapsed="false">
      <c r="A8" s="7"/>
      <c r="B8" s="103" t="s">
        <v>131</v>
      </c>
      <c r="C8" s="103" t="s">
        <v>132</v>
      </c>
      <c r="D8" s="103" t="s">
        <v>133</v>
      </c>
      <c r="E8" s="7"/>
    </row>
    <row r="9" customFormat="false" ht="17.4" hidden="false" customHeight="true" outlineLevel="0" collapsed="false">
      <c r="A9" s="7"/>
      <c r="B9" s="104" t="s">
        <v>138</v>
      </c>
      <c r="C9" s="105" t="s">
        <v>139</v>
      </c>
      <c r="D9" s="105" t="str">
        <f aca="false">C9&amp;" ("&amp;B9&amp;")"</f>
        <v>Spoofing (S)</v>
      </c>
      <c r="E9" s="7"/>
    </row>
    <row r="10" customFormat="false" ht="17.4" hidden="false" customHeight="true" outlineLevel="0" collapsed="false">
      <c r="A10" s="7"/>
      <c r="B10" s="106" t="s">
        <v>140</v>
      </c>
      <c r="C10" s="107" t="s">
        <v>141</v>
      </c>
      <c r="D10" s="105" t="str">
        <f aca="false">C10&amp;" ("&amp;B10&amp;")"</f>
        <v>Tampering (T)</v>
      </c>
      <c r="E10" s="7"/>
    </row>
    <row r="11" customFormat="false" ht="17.4" hidden="false" customHeight="true" outlineLevel="0" collapsed="false">
      <c r="A11" s="7"/>
      <c r="B11" s="106" t="s">
        <v>142</v>
      </c>
      <c r="C11" s="107" t="s">
        <v>143</v>
      </c>
      <c r="D11" s="105" t="str">
        <f aca="false">C11&amp;" ("&amp;B11&amp;")"</f>
        <v>Repudiation (R)</v>
      </c>
      <c r="E11" s="7"/>
    </row>
    <row r="12" customFormat="false" ht="17.4" hidden="false" customHeight="true" outlineLevel="0" collapsed="false">
      <c r="A12" s="7"/>
      <c r="B12" s="106" t="s">
        <v>144</v>
      </c>
      <c r="C12" s="107" t="s">
        <v>145</v>
      </c>
      <c r="D12" s="105" t="str">
        <f aca="false">C12&amp;" ("&amp;B12&amp;")"</f>
        <v>Information Disclosure (I)</v>
      </c>
      <c r="E12" s="7"/>
    </row>
    <row r="13" customFormat="false" ht="17.4" hidden="false" customHeight="true" outlineLevel="0" collapsed="false">
      <c r="A13" s="7"/>
      <c r="B13" s="106" t="s">
        <v>146</v>
      </c>
      <c r="C13" s="107" t="s">
        <v>147</v>
      </c>
      <c r="D13" s="105" t="str">
        <f aca="false">C13&amp;" ("&amp;B13&amp;")"</f>
        <v>Denial of Service (D)</v>
      </c>
      <c r="E13" s="7"/>
    </row>
    <row r="14" customFormat="false" ht="17.4" hidden="false" customHeight="true" outlineLevel="0" collapsed="false">
      <c r="A14" s="7"/>
      <c r="B14" s="106" t="s">
        <v>148</v>
      </c>
      <c r="C14" s="107" t="s">
        <v>149</v>
      </c>
      <c r="D14" s="105" t="str">
        <f aca="false">C14&amp;" ("&amp;B14&amp;")"</f>
        <v>Elevation of Privilege (E)</v>
      </c>
      <c r="E14" s="7"/>
    </row>
    <row r="15" customFormat="false" ht="17.4" hidden="false" customHeight="true" outlineLevel="0" collapsed="false">
      <c r="A15" s="7"/>
      <c r="B15" s="7"/>
      <c r="C15" s="7"/>
      <c r="D15" s="7"/>
      <c r="E15" s="7"/>
    </row>
    <row r="16" customFormat="false" ht="17.4" hidden="false" customHeight="true" outlineLevel="0" collapsed="false"/>
    <row r="17" customFormat="false" ht="17.4" hidden="false" customHeight="true" outlineLevel="0" collapsed="false"/>
    <row r="18" customFormat="false" ht="17.4" hidden="false" customHeight="true" outlineLevel="0" collapsed="false"/>
    <row r="19" customFormat="false" ht="17.4" hidden="false" customHeight="true" outlineLevel="0" collapsed="false"/>
    <row r="20" customFormat="false" ht="17.4" hidden="false" customHeight="true" outlineLevel="0" collapsed="false"/>
    <row r="21" customFormat="false" ht="17.4" hidden="false" customHeight="true" outlineLevel="0" collapsed="false"/>
    <row r="22" customFormat="false" ht="17.4" hidden="false" customHeight="true" outlineLevel="0" collapsed="false"/>
    <row r="23" customFormat="false" ht="17.4" hidden="false" customHeight="true" outlineLevel="0" collapsed="false"/>
    <row r="24" customFormat="false" ht="17.4" hidden="false" customHeight="true" outlineLevel="0" collapsed="false"/>
    <row r="25" customFormat="false" ht="17.4" hidden="false" customHeight="true" outlineLevel="0" collapsed="false"/>
    <row r="26" customFormat="false" ht="17.4" hidden="false" customHeight="true" outlineLevel="0" collapsed="false"/>
    <row r="27" customFormat="false" ht="17.4" hidden="false" customHeight="true" outlineLevel="0" collapsed="false"/>
    <row r="28" customFormat="false" ht="17.4" hidden="false" customHeight="true" outlineLevel="0" collapsed="false"/>
    <row r="29" customFormat="false" ht="17.4" hidden="false" customHeight="true" outlineLevel="0" collapsed="false"/>
    <row r="30" customFormat="false" ht="17.4" hidden="false" customHeight="true" outlineLevel="0" collapsed="false"/>
    <row r="31" customFormat="false" ht="17.4" hidden="false" customHeight="true" outlineLevel="0" collapsed="false"/>
    <row r="32" customFormat="false" ht="17.4" hidden="false" customHeight="true" outlineLevel="0" collapsed="false"/>
    <row r="33" customFormat="false" ht="17.4" hidden="false" customHeight="true" outlineLevel="0" collapsed="false"/>
    <row r="34" customFormat="false" ht="17.4" hidden="false" customHeight="true" outlineLevel="0" collapsed="false"/>
    <row r="35" customFormat="false" ht="17.4" hidden="false" customHeight="true" outlineLevel="0" collapsed="false"/>
    <row r="36" customFormat="false" ht="17.4" hidden="false" customHeight="true" outlineLevel="0" collapsed="false"/>
    <row r="37" customFormat="false" ht="17.4" hidden="false" customHeight="true" outlineLevel="0" collapsed="false"/>
    <row r="38" customFormat="false" ht="17.4" hidden="false" customHeight="true" outlineLevel="0" collapsed="false"/>
    <row r="39" customFormat="false" ht="17.4" hidden="false" customHeight="true" outlineLevel="0" collapsed="false"/>
    <row r="40" customFormat="false" ht="17.4" hidden="false" customHeight="true" outlineLevel="0" collapsed="false"/>
    <row r="41" customFormat="false" ht="17.4" hidden="false" customHeight="true" outlineLevel="0" collapsed="false"/>
    <row r="42" customFormat="false" ht="17.4" hidden="false" customHeight="true" outlineLevel="0" collapsed="false"/>
    <row r="43" customFormat="false" ht="17.4" hidden="false" customHeight="true" outlineLevel="0" collapsed="false"/>
    <row r="44" customFormat="false" ht="17.4" hidden="false" customHeight="true" outlineLevel="0" collapsed="false"/>
    <row r="45" customFormat="false" ht="17.4" hidden="false" customHeight="true" outlineLevel="0" collapsed="false"/>
    <row r="46" customFormat="false" ht="17.4" hidden="false" customHeight="true" outlineLevel="0" collapsed="false"/>
    <row r="47" customFormat="false" ht="17.4" hidden="false" customHeight="true" outlineLevel="0" collapsed="false"/>
    <row r="48" customFormat="false" ht="17.4" hidden="false" customHeight="true" outlineLevel="0" collapsed="false"/>
    <row r="49" customFormat="false" ht="17.4" hidden="false" customHeight="true" outlineLevel="0" collapsed="false"/>
    <row r="50" customFormat="false" ht="17.4" hidden="false" customHeight="true" outlineLevel="0" collapsed="false"/>
    <row r="51" customFormat="false" ht="17.4" hidden="false" customHeight="true" outlineLevel="0" collapsed="false"/>
    <row r="52" customFormat="false" ht="17.4" hidden="false" customHeight="true" outlineLevel="0" collapsed="false"/>
    <row r="53" customFormat="false" ht="17.4" hidden="false" customHeight="true" outlineLevel="0" collapsed="false"/>
    <row r="54" customFormat="false" ht="17.4" hidden="false" customHeight="true" outlineLevel="0" collapsed="false"/>
    <row r="55" customFormat="false" ht="17.4" hidden="false" customHeight="true" outlineLevel="0" collapsed="false"/>
    <row r="56" customFormat="false" ht="17.4" hidden="false" customHeight="true" outlineLevel="0" collapsed="false"/>
    <row r="57" customFormat="false" ht="17.4" hidden="false" customHeight="true" outlineLevel="0" collapsed="false"/>
    <row r="58" customFormat="false" ht="17.4" hidden="false" customHeight="true" outlineLevel="0" collapsed="false"/>
    <row r="59" customFormat="false" ht="17.4" hidden="false" customHeight="true" outlineLevel="0" collapsed="false"/>
    <row r="60" customFormat="false" ht="17.4" hidden="false" customHeight="true" outlineLevel="0" collapsed="false"/>
    <row r="61" customFormat="false" ht="17.4" hidden="false" customHeight="true" outlineLevel="0" collapsed="false"/>
    <row r="62" customFormat="false" ht="17.4" hidden="false" customHeight="true" outlineLevel="0" collapsed="false"/>
    <row r="63" customFormat="false" ht="17.4" hidden="false" customHeight="true" outlineLevel="0" collapsed="false"/>
    <row r="64" customFormat="false" ht="17.4" hidden="false" customHeight="true" outlineLevel="0" collapsed="false"/>
    <row r="65" customFormat="false" ht="17.4" hidden="false" customHeight="true" outlineLevel="0" collapsed="false"/>
    <row r="66" customFormat="false" ht="16.4" hidden="false" customHeight="true" outlineLevel="0" collapsed="false"/>
    <row r="73" customFormat="false" ht="16.4" hidden="false" customHeight="true" outlineLevel="0" collapsed="false"/>
  </sheetData>
  <mergeCells count="2">
    <mergeCell ref="B2:D2"/>
    <mergeCell ref="B7:D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I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L9" activeCellId="0" sqref="L9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6376" min="9" style="1" width="11.53"/>
  </cols>
  <sheetData>
    <row r="1" customFormat="false" ht="17.4" hidden="false" customHeight="true" outlineLevel="0" collapsed="false">
      <c r="A1" s="7"/>
      <c r="B1" s="108" t="s">
        <v>150</v>
      </c>
      <c r="C1" s="7"/>
      <c r="D1" s="7"/>
      <c r="E1" s="7"/>
      <c r="F1" s="108" t="s">
        <v>151</v>
      </c>
      <c r="G1" s="7"/>
      <c r="H1" s="7"/>
      <c r="I1" s="7"/>
    </row>
    <row r="2" customFormat="false" ht="17.4" hidden="false" customHeight="true" outlineLevel="0" collapsed="false">
      <c r="A2" s="7"/>
      <c r="B2" s="102" t="s">
        <v>60</v>
      </c>
      <c r="C2" s="102"/>
      <c r="D2" s="102"/>
      <c r="E2" s="7"/>
      <c r="F2" s="102" t="s">
        <v>50</v>
      </c>
      <c r="G2" s="102"/>
      <c r="H2" s="102"/>
      <c r="I2" s="7"/>
    </row>
    <row r="3" customFormat="false" ht="17.4" hidden="false" customHeight="true" outlineLevel="0" collapsed="false">
      <c r="A3" s="7"/>
      <c r="B3" s="103" t="s">
        <v>131</v>
      </c>
      <c r="C3" s="103" t="s">
        <v>132</v>
      </c>
      <c r="D3" s="103" t="s">
        <v>133</v>
      </c>
      <c r="E3" s="7"/>
      <c r="F3" s="103" t="s">
        <v>131</v>
      </c>
      <c r="G3" s="103" t="s">
        <v>132</v>
      </c>
      <c r="H3" s="103" t="s">
        <v>133</v>
      </c>
      <c r="I3" s="7"/>
    </row>
    <row r="4" customFormat="false" ht="17.4" hidden="false" customHeight="true" outlineLevel="0" collapsed="false">
      <c r="A4" s="7"/>
      <c r="B4" s="104" t="s">
        <v>136</v>
      </c>
      <c r="C4" s="105" t="s">
        <v>152</v>
      </c>
      <c r="D4" s="105" t="str">
        <f aca="false">C4&amp;" ("&amp;B4&amp;")"</f>
        <v>Network (N)</v>
      </c>
      <c r="E4" s="7"/>
      <c r="F4" s="104" t="s">
        <v>153</v>
      </c>
      <c r="G4" s="105" t="s">
        <v>154</v>
      </c>
      <c r="H4" s="105" t="str">
        <f aca="false">G4&amp;" ("&amp;F4&amp;")"</f>
        <v>Not Defined (X)</v>
      </c>
      <c r="I4" s="7"/>
    </row>
    <row r="5" customFormat="false" ht="17.4" hidden="false" customHeight="true" outlineLevel="0" collapsed="false">
      <c r="A5" s="7"/>
      <c r="B5" s="106" t="s">
        <v>155</v>
      </c>
      <c r="C5" s="107" t="s">
        <v>156</v>
      </c>
      <c r="D5" s="105" t="str">
        <f aca="false">C5&amp;" ("&amp;B5&amp;")"</f>
        <v>Adjacent (A)</v>
      </c>
      <c r="E5" s="7"/>
      <c r="F5" s="106" t="s">
        <v>136</v>
      </c>
      <c r="G5" s="107" t="s">
        <v>20</v>
      </c>
      <c r="H5" s="105" t="str">
        <f aca="false">G5&amp;" ("&amp;F5&amp;")"</f>
        <v>Negligible (N)</v>
      </c>
      <c r="I5" s="7"/>
    </row>
    <row r="6" customFormat="false" ht="17.4" hidden="false" customHeight="true" outlineLevel="0" collapsed="false">
      <c r="A6" s="7"/>
      <c r="B6" s="104" t="s">
        <v>157</v>
      </c>
      <c r="C6" s="105" t="s">
        <v>158</v>
      </c>
      <c r="D6" s="105" t="str">
        <f aca="false">C6&amp;" ("&amp;B6&amp;")"</f>
        <v>Local (L)</v>
      </c>
      <c r="E6" s="7"/>
      <c r="F6" s="104" t="s">
        <v>159</v>
      </c>
      <c r="G6" s="105" t="s">
        <v>160</v>
      </c>
      <c r="H6" s="105" t="str">
        <f aca="false">G6&amp;" ("&amp;F6&amp;")"</f>
        <v>Present (P)</v>
      </c>
      <c r="I6" s="7"/>
    </row>
    <row r="7" customFormat="false" ht="17.4" hidden="false" customHeight="true" outlineLevel="0" collapsed="false">
      <c r="A7" s="7"/>
      <c r="B7" s="106" t="s">
        <v>159</v>
      </c>
      <c r="C7" s="107" t="s">
        <v>161</v>
      </c>
      <c r="D7" s="105" t="str">
        <f aca="false">C7&amp;" ("&amp;B7&amp;")"</f>
        <v>Physical (P)</v>
      </c>
      <c r="E7" s="7"/>
      <c r="F7" s="7"/>
      <c r="G7" s="7"/>
      <c r="H7" s="7"/>
      <c r="I7" s="7"/>
    </row>
    <row r="8" customFormat="false" ht="17.4" hidden="false" customHeight="true" outlineLevel="0" collapsed="false">
      <c r="A8" s="7"/>
      <c r="B8" s="7"/>
      <c r="C8" s="7"/>
      <c r="D8" s="7"/>
      <c r="E8" s="7"/>
      <c r="F8" s="102" t="s">
        <v>162</v>
      </c>
      <c r="G8" s="102"/>
      <c r="H8" s="102"/>
      <c r="I8" s="7"/>
    </row>
    <row r="9" customFormat="false" ht="17.4" hidden="false" customHeight="true" outlineLevel="0" collapsed="false">
      <c r="A9" s="7"/>
      <c r="B9" s="109" t="s">
        <v>61</v>
      </c>
      <c r="C9" s="109"/>
      <c r="D9" s="109"/>
      <c r="E9" s="7"/>
      <c r="F9" s="103" t="s">
        <v>131</v>
      </c>
      <c r="G9" s="103" t="s">
        <v>132</v>
      </c>
      <c r="H9" s="103" t="s">
        <v>133</v>
      </c>
      <c r="I9" s="7"/>
    </row>
    <row r="10" customFormat="false" ht="17.4" hidden="false" customHeight="true" outlineLevel="0" collapsed="false">
      <c r="A10" s="7"/>
      <c r="B10" s="103" t="s">
        <v>131</v>
      </c>
      <c r="C10" s="103" t="s">
        <v>132</v>
      </c>
      <c r="D10" s="103" t="s">
        <v>133</v>
      </c>
      <c r="E10" s="7"/>
      <c r="F10" s="104" t="s">
        <v>153</v>
      </c>
      <c r="G10" s="105" t="s">
        <v>154</v>
      </c>
      <c r="H10" s="105" t="str">
        <f aca="false">G10&amp;" ("&amp;F10&amp;")"</f>
        <v>Not Defined (X)</v>
      </c>
      <c r="I10" s="7"/>
    </row>
    <row r="11" customFormat="false" ht="17.4" hidden="false" customHeight="true" outlineLevel="0" collapsed="false">
      <c r="A11" s="7"/>
      <c r="B11" s="104" t="s">
        <v>157</v>
      </c>
      <c r="C11" s="105" t="s">
        <v>10</v>
      </c>
      <c r="D11" s="105" t="str">
        <f aca="false">C11&amp;" ("&amp;B11&amp;")"</f>
        <v>Low (L)</v>
      </c>
      <c r="E11" s="7"/>
      <c r="F11" s="104" t="s">
        <v>136</v>
      </c>
      <c r="G11" s="105" t="s">
        <v>137</v>
      </c>
      <c r="H11" s="105" t="str">
        <f aca="false">G11&amp;" ("&amp;F11&amp;")"</f>
        <v>No (N)</v>
      </c>
      <c r="I11" s="7"/>
    </row>
    <row r="12" customFormat="false" ht="17.4" hidden="false" customHeight="true" outlineLevel="0" collapsed="false">
      <c r="A12" s="7"/>
      <c r="B12" s="106" t="s">
        <v>163</v>
      </c>
      <c r="C12" s="107" t="s">
        <v>8</v>
      </c>
      <c r="D12" s="105" t="str">
        <f aca="false">C12&amp;" ("&amp;B12&amp;")"</f>
        <v>High (H)</v>
      </c>
      <c r="E12" s="7"/>
      <c r="F12" s="106" t="s">
        <v>134</v>
      </c>
      <c r="G12" s="107" t="s">
        <v>135</v>
      </c>
      <c r="H12" s="105" t="str">
        <f aca="false">G12&amp;" ("&amp;F12&amp;")"</f>
        <v>Yes (Y)</v>
      </c>
      <c r="I12" s="7"/>
    </row>
    <row r="13" customFormat="false" ht="17.4" hidden="false" customHeight="true" outlineLevel="0" collapsed="false">
      <c r="A13" s="7"/>
      <c r="B13" s="7"/>
      <c r="C13" s="7"/>
      <c r="D13" s="7"/>
      <c r="E13" s="7"/>
      <c r="F13" s="7"/>
      <c r="G13" s="7"/>
      <c r="H13" s="7"/>
      <c r="I13" s="7"/>
    </row>
    <row r="14" customFormat="false" ht="17.4" hidden="false" customHeight="true" outlineLevel="0" collapsed="false">
      <c r="A14" s="7"/>
      <c r="B14" s="109" t="s">
        <v>62</v>
      </c>
      <c r="C14" s="109"/>
      <c r="D14" s="109"/>
      <c r="E14" s="7"/>
      <c r="F14" s="102" t="s">
        <v>164</v>
      </c>
      <c r="G14" s="102"/>
      <c r="H14" s="102"/>
      <c r="I14" s="7"/>
    </row>
    <row r="15" customFormat="false" ht="17.4" hidden="false" customHeight="true" outlineLevel="0" collapsed="false">
      <c r="A15" s="7"/>
      <c r="B15" s="103" t="s">
        <v>131</v>
      </c>
      <c r="C15" s="103" t="s">
        <v>132</v>
      </c>
      <c r="D15" s="103" t="s">
        <v>133</v>
      </c>
      <c r="E15" s="7"/>
      <c r="F15" s="103" t="s">
        <v>131</v>
      </c>
      <c r="G15" s="103" t="s">
        <v>132</v>
      </c>
      <c r="H15" s="103" t="s">
        <v>133</v>
      </c>
      <c r="I15" s="7"/>
    </row>
    <row r="16" customFormat="false" ht="17.4" hidden="false" customHeight="true" outlineLevel="0" collapsed="false">
      <c r="A16" s="7"/>
      <c r="B16" s="104" t="s">
        <v>136</v>
      </c>
      <c r="C16" s="105" t="s">
        <v>11</v>
      </c>
      <c r="D16" s="105" t="str">
        <f aca="false">C16&amp;" ("&amp;B16&amp;")"</f>
        <v>None (N)</v>
      </c>
      <c r="E16" s="7"/>
      <c r="F16" s="104" t="s">
        <v>153</v>
      </c>
      <c r="G16" s="105" t="s">
        <v>154</v>
      </c>
      <c r="H16" s="105" t="str">
        <f aca="false">G16&amp;" ("&amp;F16&amp;")"</f>
        <v>Not Defined (X)</v>
      </c>
      <c r="I16" s="7"/>
    </row>
    <row r="17" customFormat="false" ht="17.4" hidden="false" customHeight="true" outlineLevel="0" collapsed="false">
      <c r="A17" s="7"/>
      <c r="B17" s="106" t="s">
        <v>159</v>
      </c>
      <c r="C17" s="107" t="s">
        <v>160</v>
      </c>
      <c r="D17" s="105" t="str">
        <f aca="false">C17&amp;" ("&amp;B17&amp;")"</f>
        <v>Present (P)</v>
      </c>
      <c r="E17" s="7"/>
      <c r="F17" s="104" t="s">
        <v>155</v>
      </c>
      <c r="G17" s="105" t="s">
        <v>165</v>
      </c>
      <c r="H17" s="105" t="str">
        <f aca="false">G17&amp;" ("&amp;F17&amp;")"</f>
        <v>Automatic (A)</v>
      </c>
      <c r="I17" s="7"/>
    </row>
    <row r="18" customFormat="false" ht="17.4" hidden="false" customHeight="true" outlineLevel="0" collapsed="false">
      <c r="A18" s="7"/>
      <c r="B18" s="7"/>
      <c r="C18" s="7"/>
      <c r="D18" s="7"/>
      <c r="E18" s="7"/>
      <c r="F18" s="104" t="s">
        <v>166</v>
      </c>
      <c r="G18" s="105" t="s">
        <v>167</v>
      </c>
      <c r="H18" s="105" t="str">
        <f aca="false">G18&amp;" ("&amp;F18&amp;")"</f>
        <v>User (U)</v>
      </c>
      <c r="I18" s="7"/>
    </row>
    <row r="19" customFormat="false" ht="17.4" hidden="false" customHeight="true" outlineLevel="0" collapsed="false">
      <c r="A19" s="7"/>
      <c r="B19" s="109" t="s">
        <v>168</v>
      </c>
      <c r="C19" s="109"/>
      <c r="D19" s="109"/>
      <c r="E19" s="7"/>
      <c r="F19" s="106" t="s">
        <v>144</v>
      </c>
      <c r="G19" s="107" t="s">
        <v>169</v>
      </c>
      <c r="H19" s="105" t="str">
        <f aca="false">G19&amp;" ("&amp;F19&amp;")"</f>
        <v>Irrecoverable (I)</v>
      </c>
      <c r="I19" s="7"/>
    </row>
    <row r="20" customFormat="false" ht="17.4" hidden="false" customHeight="true" outlineLevel="0" collapsed="false">
      <c r="A20" s="7"/>
      <c r="B20" s="103" t="s">
        <v>131</v>
      </c>
      <c r="C20" s="103" t="s">
        <v>132</v>
      </c>
      <c r="D20" s="103" t="s">
        <v>133</v>
      </c>
      <c r="E20" s="7"/>
      <c r="F20" s="7"/>
      <c r="G20" s="7"/>
      <c r="H20" s="7"/>
      <c r="I20" s="7"/>
    </row>
    <row r="21" customFormat="false" ht="17.4" hidden="false" customHeight="true" outlineLevel="0" collapsed="false">
      <c r="A21" s="7"/>
      <c r="B21" s="104" t="s">
        <v>136</v>
      </c>
      <c r="C21" s="105" t="s">
        <v>11</v>
      </c>
      <c r="D21" s="105" t="str">
        <f aca="false">C21&amp;" ("&amp;B21&amp;")"</f>
        <v>None (N)</v>
      </c>
      <c r="E21" s="7"/>
      <c r="F21" s="102" t="s">
        <v>170</v>
      </c>
      <c r="G21" s="102"/>
      <c r="H21" s="102"/>
      <c r="I21" s="7"/>
    </row>
    <row r="22" customFormat="false" ht="17.4" hidden="false" customHeight="true" outlineLevel="0" collapsed="false">
      <c r="A22" s="7"/>
      <c r="B22" s="106" t="s">
        <v>157</v>
      </c>
      <c r="C22" s="107" t="s">
        <v>10</v>
      </c>
      <c r="D22" s="105" t="str">
        <f aca="false">C22&amp;" ("&amp;B22&amp;")"</f>
        <v>Low (L)</v>
      </c>
      <c r="E22" s="7"/>
      <c r="F22" s="103" t="s">
        <v>131</v>
      </c>
      <c r="G22" s="103" t="s">
        <v>132</v>
      </c>
      <c r="H22" s="103" t="s">
        <v>133</v>
      </c>
      <c r="I22" s="7"/>
    </row>
    <row r="23" customFormat="false" ht="17.4" hidden="false" customHeight="true" outlineLevel="0" collapsed="false">
      <c r="A23" s="7"/>
      <c r="B23" s="104" t="s">
        <v>163</v>
      </c>
      <c r="C23" s="105" t="s">
        <v>8</v>
      </c>
      <c r="D23" s="105" t="str">
        <f aca="false">C23&amp;" ("&amp;B23&amp;")"</f>
        <v>High (H)</v>
      </c>
      <c r="E23" s="7"/>
      <c r="F23" s="104" t="s">
        <v>153</v>
      </c>
      <c r="G23" s="105" t="s">
        <v>154</v>
      </c>
      <c r="H23" s="105" t="str">
        <f aca="false">G23&amp;" ("&amp;F23&amp;")"</f>
        <v>Not Defined (X)</v>
      </c>
      <c r="I23" s="7"/>
    </row>
    <row r="24" customFormat="false" ht="17.4" hidden="false" customHeight="true" outlineLevel="0" collapsed="false">
      <c r="A24" s="7"/>
      <c r="B24" s="7"/>
      <c r="C24" s="7"/>
      <c r="D24" s="7"/>
      <c r="E24" s="7"/>
      <c r="F24" s="106" t="s">
        <v>157</v>
      </c>
      <c r="G24" s="107" t="s">
        <v>171</v>
      </c>
      <c r="H24" s="105" t="str">
        <f aca="false">G24&amp;" ("&amp;F24&amp;")"</f>
        <v>Diffuse (L)</v>
      </c>
      <c r="I24" s="7"/>
    </row>
    <row r="25" customFormat="false" ht="17.4" hidden="false" customHeight="true" outlineLevel="0" collapsed="false">
      <c r="A25" s="7"/>
      <c r="B25" s="109" t="s">
        <v>172</v>
      </c>
      <c r="C25" s="109"/>
      <c r="D25" s="109"/>
      <c r="E25" s="7"/>
      <c r="F25" s="104" t="s">
        <v>163</v>
      </c>
      <c r="G25" s="105" t="s">
        <v>173</v>
      </c>
      <c r="H25" s="105" t="str">
        <f aca="false">G25&amp;" ("&amp;F25&amp;")"</f>
        <v>Concentrated (H)</v>
      </c>
      <c r="I25" s="7"/>
    </row>
    <row r="26" customFormat="false" ht="17.4" hidden="false" customHeight="true" outlineLevel="0" collapsed="false">
      <c r="A26" s="7"/>
      <c r="B26" s="103" t="s">
        <v>131</v>
      </c>
      <c r="C26" s="103" t="s">
        <v>132</v>
      </c>
      <c r="D26" s="103" t="s">
        <v>133</v>
      </c>
      <c r="E26" s="7"/>
      <c r="F26" s="7"/>
      <c r="G26" s="7"/>
      <c r="H26" s="7"/>
      <c r="I26" s="7"/>
    </row>
    <row r="27" customFormat="false" ht="17.4" hidden="false" customHeight="true" outlineLevel="0" collapsed="false">
      <c r="A27" s="7"/>
      <c r="B27" s="104" t="s">
        <v>136</v>
      </c>
      <c r="C27" s="105" t="s">
        <v>11</v>
      </c>
      <c r="D27" s="105" t="str">
        <f aca="false">C27&amp;" ("&amp;B27&amp;")"</f>
        <v>None (N)</v>
      </c>
      <c r="E27" s="7"/>
      <c r="F27" s="102" t="s">
        <v>174</v>
      </c>
      <c r="G27" s="102"/>
      <c r="H27" s="102"/>
      <c r="I27" s="7"/>
    </row>
    <row r="28" customFormat="false" ht="17.4" hidden="false" customHeight="true" outlineLevel="0" collapsed="false">
      <c r="A28" s="7"/>
      <c r="B28" s="106" t="s">
        <v>159</v>
      </c>
      <c r="C28" s="107" t="s">
        <v>175</v>
      </c>
      <c r="D28" s="105" t="str">
        <f aca="false">C28&amp;" ("&amp;B28&amp;")"</f>
        <v>Passive (P)</v>
      </c>
      <c r="E28" s="7"/>
      <c r="F28" s="103" t="s">
        <v>131</v>
      </c>
      <c r="G28" s="103" t="s">
        <v>132</v>
      </c>
      <c r="H28" s="103" t="s">
        <v>133</v>
      </c>
      <c r="I28" s="7"/>
    </row>
    <row r="29" customFormat="false" ht="17.4" hidden="false" customHeight="true" outlineLevel="0" collapsed="false">
      <c r="A29" s="7"/>
      <c r="B29" s="104" t="s">
        <v>155</v>
      </c>
      <c r="C29" s="105" t="s">
        <v>176</v>
      </c>
      <c r="D29" s="105" t="str">
        <f aca="false">C29&amp;" ("&amp;B29&amp;")"</f>
        <v>Active (A)</v>
      </c>
      <c r="E29" s="7"/>
      <c r="F29" s="104" t="s">
        <v>153</v>
      </c>
      <c r="G29" s="105" t="s">
        <v>154</v>
      </c>
      <c r="H29" s="105" t="str">
        <f aca="false">G29&amp;" ("&amp;F29&amp;")"</f>
        <v>Not Defined (X)</v>
      </c>
      <c r="I29" s="7"/>
    </row>
    <row r="30" customFormat="false" ht="17.4" hidden="false" customHeight="true" outlineLevel="0" collapsed="false">
      <c r="A30" s="7"/>
      <c r="B30" s="7"/>
      <c r="C30" s="7"/>
      <c r="D30" s="7"/>
      <c r="E30" s="7"/>
      <c r="F30" s="104" t="s">
        <v>157</v>
      </c>
      <c r="G30" s="105" t="s">
        <v>10</v>
      </c>
      <c r="H30" s="105" t="str">
        <f aca="false">G30&amp;" ("&amp;F30&amp;")"</f>
        <v>Low (L)</v>
      </c>
      <c r="I30" s="7"/>
    </row>
    <row r="31" customFormat="false" ht="17.4" hidden="false" customHeight="true" outlineLevel="0" collapsed="false">
      <c r="A31" s="7"/>
      <c r="B31" s="109" t="s">
        <v>177</v>
      </c>
      <c r="C31" s="109"/>
      <c r="D31" s="109"/>
      <c r="E31" s="7"/>
      <c r="F31" s="106" t="s">
        <v>178</v>
      </c>
      <c r="G31" s="107" t="s">
        <v>9</v>
      </c>
      <c r="H31" s="105" t="str">
        <f aca="false">G31&amp;" ("&amp;F31&amp;")"</f>
        <v>Medium (M)</v>
      </c>
      <c r="I31" s="7"/>
    </row>
    <row r="32" customFormat="false" ht="17.4" hidden="false" customHeight="true" outlineLevel="0" collapsed="false">
      <c r="A32" s="7"/>
      <c r="B32" s="103" t="s">
        <v>131</v>
      </c>
      <c r="C32" s="103" t="s">
        <v>132</v>
      </c>
      <c r="D32" s="103" t="s">
        <v>133</v>
      </c>
      <c r="E32" s="7"/>
      <c r="F32" s="104" t="s">
        <v>163</v>
      </c>
      <c r="G32" s="105" t="s">
        <v>8</v>
      </c>
      <c r="H32" s="105" t="str">
        <f aca="false">G32&amp;" ("&amp;F32&amp;")"</f>
        <v>High (H)</v>
      </c>
      <c r="I32" s="7"/>
    </row>
    <row r="33" customFormat="false" ht="17.4" hidden="false" customHeight="true" outlineLevel="0" collapsed="false">
      <c r="A33" s="7"/>
      <c r="B33" s="104" t="s">
        <v>163</v>
      </c>
      <c r="C33" s="105" t="s">
        <v>8</v>
      </c>
      <c r="D33" s="105" t="str">
        <f aca="false">C33&amp;" ("&amp;B33&amp;")"</f>
        <v>High (H)</v>
      </c>
      <c r="E33" s="7"/>
      <c r="F33" s="7"/>
      <c r="G33" s="7"/>
      <c r="H33" s="7"/>
      <c r="I33" s="7"/>
    </row>
    <row r="34" customFormat="false" ht="17.4" hidden="false" customHeight="true" outlineLevel="0" collapsed="false">
      <c r="A34" s="7"/>
      <c r="B34" s="106" t="s">
        <v>157</v>
      </c>
      <c r="C34" s="107" t="s">
        <v>10</v>
      </c>
      <c r="D34" s="105" t="str">
        <f aca="false">C34&amp;" ("&amp;B34&amp;")"</f>
        <v>Low (L)</v>
      </c>
      <c r="E34" s="7"/>
      <c r="F34" s="102" t="s">
        <v>179</v>
      </c>
      <c r="G34" s="102"/>
      <c r="H34" s="102"/>
      <c r="I34" s="7"/>
    </row>
    <row r="35" customFormat="false" ht="17.4" hidden="false" customHeight="true" outlineLevel="0" collapsed="false">
      <c r="A35" s="7"/>
      <c r="B35" s="104" t="s">
        <v>136</v>
      </c>
      <c r="C35" s="105" t="s">
        <v>11</v>
      </c>
      <c r="D35" s="105" t="str">
        <f aca="false">C35&amp;" ("&amp;B35&amp;")"</f>
        <v>None (N)</v>
      </c>
      <c r="E35" s="7"/>
      <c r="F35" s="103" t="s">
        <v>131</v>
      </c>
      <c r="G35" s="103" t="s">
        <v>132</v>
      </c>
      <c r="H35" s="103" t="s">
        <v>133</v>
      </c>
      <c r="I35" s="7"/>
    </row>
    <row r="36" customFormat="false" ht="17.4" hidden="false" customHeight="true" outlineLevel="0" collapsed="false">
      <c r="A36" s="7"/>
      <c r="B36" s="7"/>
      <c r="C36" s="7"/>
      <c r="D36" s="7"/>
      <c r="E36" s="7"/>
      <c r="F36" s="104" t="s">
        <v>153</v>
      </c>
      <c r="G36" s="105" t="s">
        <v>154</v>
      </c>
      <c r="H36" s="105" t="str">
        <f aca="false">G36&amp;" ("&amp;F36&amp;")"</f>
        <v>Not Defined (X)</v>
      </c>
      <c r="I36" s="7"/>
    </row>
    <row r="37" customFormat="false" ht="17.4" hidden="false" customHeight="true" outlineLevel="0" collapsed="false">
      <c r="A37" s="7"/>
      <c r="B37" s="109" t="s">
        <v>180</v>
      </c>
      <c r="C37" s="109"/>
      <c r="D37" s="109"/>
      <c r="E37" s="7"/>
      <c r="F37" s="106" t="s">
        <v>181</v>
      </c>
      <c r="G37" s="107" t="s">
        <v>182</v>
      </c>
      <c r="H37" s="105" t="str">
        <f aca="false">G37&amp;" ("&amp;F37&amp;")"</f>
        <v>Low / None (Clear)</v>
      </c>
      <c r="I37" s="7"/>
    </row>
    <row r="38" customFormat="false" ht="17.4" hidden="false" customHeight="true" outlineLevel="0" collapsed="false">
      <c r="A38" s="7"/>
      <c r="B38" s="103" t="s">
        <v>131</v>
      </c>
      <c r="C38" s="103" t="s">
        <v>132</v>
      </c>
      <c r="D38" s="103" t="s">
        <v>133</v>
      </c>
      <c r="E38" s="7"/>
      <c r="F38" s="104" t="s">
        <v>183</v>
      </c>
      <c r="G38" s="105" t="s">
        <v>184</v>
      </c>
      <c r="H38" s="105" t="str">
        <f aca="false">G38&amp;" ("&amp;F38&amp;")"</f>
        <v>Moderate Urgency (Green)</v>
      </c>
      <c r="I38" s="7"/>
    </row>
    <row r="39" customFormat="false" ht="17.4" hidden="false" customHeight="true" outlineLevel="0" collapsed="false">
      <c r="A39" s="7"/>
      <c r="B39" s="104" t="s">
        <v>163</v>
      </c>
      <c r="C39" s="105" t="s">
        <v>8</v>
      </c>
      <c r="D39" s="105" t="str">
        <f aca="false">C39&amp;" ("&amp;B39&amp;")"</f>
        <v>High (H)</v>
      </c>
      <c r="E39" s="7"/>
      <c r="F39" s="104" t="s">
        <v>185</v>
      </c>
      <c r="G39" s="105" t="s">
        <v>186</v>
      </c>
      <c r="H39" s="105" t="str">
        <f aca="false">G39&amp;" ("&amp;F39&amp;")"</f>
        <v>High Urgency (Amber)</v>
      </c>
      <c r="I39" s="7"/>
    </row>
    <row r="40" customFormat="false" ht="17.4" hidden="false" customHeight="true" outlineLevel="0" collapsed="false">
      <c r="A40" s="7"/>
      <c r="B40" s="106" t="s">
        <v>157</v>
      </c>
      <c r="C40" s="107" t="s">
        <v>10</v>
      </c>
      <c r="D40" s="105" t="str">
        <f aca="false">C40&amp;" ("&amp;B40&amp;")"</f>
        <v>Low (L)</v>
      </c>
      <c r="E40" s="7"/>
      <c r="F40" s="106" t="s">
        <v>187</v>
      </c>
      <c r="G40" s="107" t="s">
        <v>188</v>
      </c>
      <c r="H40" s="105" t="str">
        <f aca="false">G40&amp;" ("&amp;F40&amp;")"</f>
        <v>Critical  / Immediate (Red)</v>
      </c>
      <c r="I40" s="7"/>
    </row>
    <row r="41" customFormat="false" ht="17.4" hidden="false" customHeight="true" outlineLevel="0" collapsed="false">
      <c r="A41" s="7"/>
      <c r="B41" s="104" t="s">
        <v>136</v>
      </c>
      <c r="C41" s="105" t="s">
        <v>11</v>
      </c>
      <c r="D41" s="105" t="str">
        <f aca="false">C41&amp;" ("&amp;B41&amp;")"</f>
        <v>None (N)</v>
      </c>
      <c r="E41" s="7"/>
      <c r="F41" s="7"/>
      <c r="G41" s="7"/>
      <c r="H41" s="7"/>
      <c r="I41" s="7"/>
    </row>
    <row r="42" customFormat="false" ht="17.4" hidden="false" customHeight="true" outlineLevel="0" collapsed="false">
      <c r="A42" s="7"/>
      <c r="B42" s="7"/>
      <c r="C42" s="7"/>
      <c r="D42" s="7"/>
      <c r="E42" s="7"/>
      <c r="F42" s="7"/>
      <c r="G42" s="7"/>
      <c r="H42" s="7"/>
      <c r="I42" s="7"/>
    </row>
    <row r="43" customFormat="false" ht="17.4" hidden="false" customHeight="true" outlineLevel="0" collapsed="false">
      <c r="A43" s="7"/>
      <c r="B43" s="109" t="s">
        <v>189</v>
      </c>
      <c r="C43" s="109"/>
      <c r="D43" s="109"/>
      <c r="E43" s="7"/>
      <c r="F43" s="7"/>
      <c r="G43" s="7"/>
      <c r="H43" s="7"/>
      <c r="I43" s="7"/>
    </row>
    <row r="44" customFormat="false" ht="17.4" hidden="false" customHeight="true" outlineLevel="0" collapsed="false">
      <c r="A44" s="7"/>
      <c r="B44" s="103" t="s">
        <v>131</v>
      </c>
      <c r="C44" s="103" t="s">
        <v>132</v>
      </c>
      <c r="D44" s="103" t="s">
        <v>133</v>
      </c>
      <c r="E44" s="7"/>
      <c r="F44" s="7"/>
      <c r="G44" s="7"/>
      <c r="H44" s="7"/>
      <c r="I44" s="7"/>
    </row>
    <row r="45" customFormat="false" ht="17.4" hidden="false" customHeight="true" outlineLevel="0" collapsed="false">
      <c r="A45" s="7"/>
      <c r="B45" s="104" t="s">
        <v>163</v>
      </c>
      <c r="C45" s="105" t="s">
        <v>8</v>
      </c>
      <c r="D45" s="105" t="str">
        <f aca="false">C45&amp;" ("&amp;B45&amp;")"</f>
        <v>High (H)</v>
      </c>
      <c r="E45" s="7"/>
      <c r="F45" s="7"/>
      <c r="G45" s="7"/>
      <c r="H45" s="7"/>
      <c r="I45" s="7"/>
    </row>
    <row r="46" customFormat="false" ht="17.4" hidden="false" customHeight="true" outlineLevel="0" collapsed="false">
      <c r="A46" s="7"/>
      <c r="B46" s="106" t="s">
        <v>157</v>
      </c>
      <c r="C46" s="107" t="s">
        <v>10</v>
      </c>
      <c r="D46" s="105" t="str">
        <f aca="false">C46&amp;" ("&amp;B46&amp;")"</f>
        <v>Low (L)</v>
      </c>
      <c r="E46" s="7"/>
      <c r="F46" s="7"/>
      <c r="G46" s="7"/>
      <c r="H46" s="7"/>
      <c r="I46" s="7"/>
    </row>
    <row r="47" customFormat="false" ht="17.4" hidden="false" customHeight="true" outlineLevel="0" collapsed="false">
      <c r="A47" s="7"/>
      <c r="B47" s="104" t="s">
        <v>136</v>
      </c>
      <c r="C47" s="105" t="s">
        <v>11</v>
      </c>
      <c r="D47" s="105" t="str">
        <f aca="false">C47&amp;" ("&amp;B47&amp;")"</f>
        <v>None (N)</v>
      </c>
      <c r="E47" s="7"/>
      <c r="F47" s="7"/>
      <c r="G47" s="7"/>
      <c r="H47" s="7"/>
      <c r="I47" s="7"/>
    </row>
    <row r="48" customFormat="false" ht="17.4" hidden="false" customHeight="true" outlineLevel="0" collapsed="false">
      <c r="A48" s="7"/>
      <c r="B48" s="7"/>
      <c r="C48" s="7"/>
      <c r="D48" s="7"/>
      <c r="E48" s="7"/>
      <c r="F48" s="7"/>
      <c r="G48" s="7"/>
      <c r="H48" s="7"/>
      <c r="I48" s="7"/>
    </row>
    <row r="49" customFormat="false" ht="17.4" hidden="false" customHeight="true" outlineLevel="0" collapsed="false">
      <c r="A49" s="7"/>
      <c r="B49" s="109" t="s">
        <v>190</v>
      </c>
      <c r="C49" s="109"/>
      <c r="D49" s="109"/>
      <c r="E49" s="7"/>
      <c r="F49" s="7"/>
      <c r="G49" s="7"/>
      <c r="H49" s="7"/>
      <c r="I49" s="7"/>
    </row>
    <row r="50" customFormat="false" ht="17.4" hidden="false" customHeight="true" outlineLevel="0" collapsed="false">
      <c r="A50" s="7"/>
      <c r="B50" s="103" t="s">
        <v>131</v>
      </c>
      <c r="C50" s="103" t="s">
        <v>132</v>
      </c>
      <c r="D50" s="103" t="s">
        <v>133</v>
      </c>
      <c r="E50" s="7"/>
      <c r="F50" s="7"/>
      <c r="G50" s="7"/>
      <c r="H50" s="7"/>
      <c r="I50" s="7"/>
    </row>
    <row r="51" customFormat="false" ht="17.4" hidden="false" customHeight="true" outlineLevel="0" collapsed="false">
      <c r="A51" s="7"/>
      <c r="B51" s="104" t="s">
        <v>163</v>
      </c>
      <c r="C51" s="105" t="s">
        <v>8</v>
      </c>
      <c r="D51" s="105" t="str">
        <f aca="false">C51&amp;" ("&amp;B51&amp;")"</f>
        <v>High (H)</v>
      </c>
      <c r="E51" s="7"/>
      <c r="F51" s="7"/>
      <c r="G51" s="7"/>
      <c r="H51" s="7"/>
      <c r="I51" s="7"/>
    </row>
    <row r="52" customFormat="false" ht="17.4" hidden="false" customHeight="true" outlineLevel="0" collapsed="false">
      <c r="A52" s="7"/>
      <c r="B52" s="106" t="s">
        <v>157</v>
      </c>
      <c r="C52" s="107" t="s">
        <v>10</v>
      </c>
      <c r="D52" s="105" t="str">
        <f aca="false">C52&amp;" ("&amp;B52&amp;")"</f>
        <v>Low (L)</v>
      </c>
      <c r="E52" s="7"/>
      <c r="F52" s="7"/>
      <c r="G52" s="7"/>
      <c r="H52" s="7"/>
      <c r="I52" s="7"/>
    </row>
    <row r="53" customFormat="false" ht="17.4" hidden="false" customHeight="true" outlineLevel="0" collapsed="false">
      <c r="A53" s="7"/>
      <c r="B53" s="104" t="s">
        <v>136</v>
      </c>
      <c r="C53" s="105" t="s">
        <v>11</v>
      </c>
      <c r="D53" s="105" t="str">
        <f aca="false">C53&amp;" ("&amp;B53&amp;")"</f>
        <v>None (N)</v>
      </c>
      <c r="E53" s="7"/>
      <c r="F53" s="7"/>
      <c r="G53" s="7"/>
      <c r="H53" s="7"/>
      <c r="I53" s="7"/>
    </row>
    <row r="54" customFormat="false" ht="17.4" hidden="false" customHeight="true" outlineLevel="0" collapsed="false">
      <c r="A54" s="7"/>
      <c r="B54" s="7"/>
      <c r="C54" s="7"/>
      <c r="D54" s="7"/>
      <c r="E54" s="7"/>
      <c r="F54" s="7"/>
      <c r="G54" s="7"/>
      <c r="H54" s="7"/>
      <c r="I54" s="7"/>
    </row>
    <row r="55" customFormat="false" ht="17.4" hidden="false" customHeight="true" outlineLevel="0" collapsed="false">
      <c r="A55" s="7"/>
      <c r="B55" s="109" t="s">
        <v>191</v>
      </c>
      <c r="C55" s="109"/>
      <c r="D55" s="109"/>
      <c r="E55" s="7"/>
      <c r="F55" s="7"/>
      <c r="G55" s="7"/>
      <c r="H55" s="7"/>
      <c r="I55" s="7"/>
    </row>
    <row r="56" customFormat="false" ht="17.4" hidden="false" customHeight="true" outlineLevel="0" collapsed="false">
      <c r="A56" s="7"/>
      <c r="B56" s="103" t="s">
        <v>131</v>
      </c>
      <c r="C56" s="103" t="s">
        <v>132</v>
      </c>
      <c r="D56" s="103" t="s">
        <v>133</v>
      </c>
      <c r="E56" s="7"/>
      <c r="F56" s="7"/>
      <c r="G56" s="7"/>
      <c r="H56" s="7"/>
      <c r="I56" s="7"/>
    </row>
    <row r="57" customFormat="false" ht="17.4" hidden="false" customHeight="true" outlineLevel="0" collapsed="false">
      <c r="A57" s="7"/>
      <c r="B57" s="104" t="s">
        <v>163</v>
      </c>
      <c r="C57" s="105" t="s">
        <v>8</v>
      </c>
      <c r="D57" s="105" t="str">
        <f aca="false">C57&amp;" ("&amp;B57&amp;")"</f>
        <v>High (H)</v>
      </c>
      <c r="E57" s="7"/>
      <c r="F57" s="7"/>
      <c r="G57" s="7"/>
      <c r="H57" s="7"/>
      <c r="I57" s="7"/>
    </row>
    <row r="58" customFormat="false" ht="17.4" hidden="false" customHeight="true" outlineLevel="0" collapsed="false">
      <c r="A58" s="7"/>
      <c r="B58" s="106" t="s">
        <v>157</v>
      </c>
      <c r="C58" s="107" t="s">
        <v>10</v>
      </c>
      <c r="D58" s="105" t="str">
        <f aca="false">C58&amp;" ("&amp;B58&amp;")"</f>
        <v>Low (L)</v>
      </c>
      <c r="E58" s="7"/>
      <c r="F58" s="7"/>
      <c r="G58" s="7"/>
      <c r="H58" s="7"/>
      <c r="I58" s="7"/>
    </row>
    <row r="59" customFormat="false" ht="17.4" hidden="false" customHeight="true" outlineLevel="0" collapsed="false">
      <c r="A59" s="7"/>
      <c r="B59" s="104" t="s">
        <v>136</v>
      </c>
      <c r="C59" s="105" t="s">
        <v>11</v>
      </c>
      <c r="D59" s="105" t="str">
        <f aca="false">C59&amp;" ("&amp;B59&amp;")"</f>
        <v>None (N)</v>
      </c>
      <c r="E59" s="7"/>
      <c r="F59" s="7"/>
      <c r="G59" s="7"/>
      <c r="H59" s="7"/>
      <c r="I59" s="7"/>
    </row>
    <row r="60" customFormat="false" ht="17.4" hidden="false" customHeight="true" outlineLevel="0" collapsed="false">
      <c r="A60" s="7"/>
      <c r="B60" s="7"/>
      <c r="C60" s="7"/>
      <c r="D60" s="7"/>
      <c r="E60" s="7"/>
      <c r="F60" s="7"/>
      <c r="G60" s="7"/>
      <c r="H60" s="7"/>
      <c r="I60" s="7"/>
    </row>
    <row r="61" customFormat="false" ht="17.4" hidden="false" customHeight="true" outlineLevel="0" collapsed="false">
      <c r="A61" s="7"/>
      <c r="B61" s="109" t="s">
        <v>192</v>
      </c>
      <c r="C61" s="109"/>
      <c r="D61" s="109"/>
      <c r="E61" s="7"/>
      <c r="F61" s="7"/>
      <c r="G61" s="7"/>
      <c r="H61" s="7"/>
      <c r="I61" s="7"/>
    </row>
    <row r="62" customFormat="false" ht="17.4" hidden="false" customHeight="true" outlineLevel="0" collapsed="false">
      <c r="A62" s="7"/>
      <c r="B62" s="103" t="s">
        <v>131</v>
      </c>
      <c r="C62" s="103" t="s">
        <v>132</v>
      </c>
      <c r="D62" s="103" t="s">
        <v>133</v>
      </c>
      <c r="E62" s="7"/>
      <c r="F62" s="7"/>
      <c r="G62" s="7"/>
      <c r="H62" s="7"/>
      <c r="I62" s="7"/>
    </row>
    <row r="63" customFormat="false" ht="17.4" hidden="false" customHeight="true" outlineLevel="0" collapsed="false">
      <c r="A63" s="7"/>
      <c r="B63" s="104" t="s">
        <v>163</v>
      </c>
      <c r="C63" s="105" t="s">
        <v>8</v>
      </c>
      <c r="D63" s="105" t="str">
        <f aca="false">C63&amp;" ("&amp;B63&amp;")"</f>
        <v>High (H)</v>
      </c>
      <c r="E63" s="7"/>
      <c r="F63" s="7"/>
      <c r="G63" s="7"/>
      <c r="H63" s="7"/>
      <c r="I63" s="7"/>
    </row>
    <row r="64" customFormat="false" ht="17.4" hidden="false" customHeight="true" outlineLevel="0" collapsed="false">
      <c r="A64" s="7"/>
      <c r="B64" s="106" t="s">
        <v>157</v>
      </c>
      <c r="C64" s="107" t="s">
        <v>10</v>
      </c>
      <c r="D64" s="105" t="str">
        <f aca="false">C64&amp;" ("&amp;B64&amp;")"</f>
        <v>Low (L)</v>
      </c>
      <c r="E64" s="7"/>
      <c r="F64" s="7"/>
      <c r="G64" s="7"/>
      <c r="H64" s="7"/>
      <c r="I64" s="7"/>
    </row>
    <row r="65" customFormat="false" ht="17.4" hidden="false" customHeight="true" outlineLevel="0" collapsed="false">
      <c r="A65" s="7"/>
      <c r="B65" s="104" t="s">
        <v>136</v>
      </c>
      <c r="C65" s="105" t="s">
        <v>11</v>
      </c>
      <c r="D65" s="105" t="str">
        <f aca="false">C65&amp;" ("&amp;B65&amp;")"</f>
        <v>None (N)</v>
      </c>
      <c r="E65" s="7"/>
      <c r="F65" s="7"/>
      <c r="G65" s="7"/>
      <c r="H65" s="7"/>
      <c r="I65" s="7"/>
    </row>
    <row r="66" customFormat="false" ht="17.4" hidden="false" customHeight="true" outlineLevel="0" collapsed="false">
      <c r="A66" s="7"/>
      <c r="B66" s="7"/>
      <c r="C66" s="7"/>
      <c r="D66" s="7"/>
      <c r="E66" s="7"/>
      <c r="F66" s="7"/>
      <c r="G66" s="7"/>
      <c r="H66" s="7"/>
      <c r="I66" s="7"/>
    </row>
    <row r="67" customFormat="false" ht="17.4" hidden="false" customHeight="true" outlineLevel="0" collapsed="false">
      <c r="A67" s="7"/>
      <c r="B67" s="109" t="s">
        <v>73</v>
      </c>
      <c r="C67" s="109"/>
      <c r="D67" s="109"/>
      <c r="E67" s="7"/>
      <c r="F67" s="7"/>
      <c r="G67" s="7"/>
      <c r="H67" s="7"/>
      <c r="I67" s="7"/>
    </row>
    <row r="68" customFormat="false" ht="17.4" hidden="false" customHeight="true" outlineLevel="0" collapsed="false">
      <c r="A68" s="7"/>
      <c r="B68" s="103" t="s">
        <v>131</v>
      </c>
      <c r="C68" s="103" t="s">
        <v>132</v>
      </c>
      <c r="D68" s="103" t="s">
        <v>133</v>
      </c>
      <c r="E68" s="18"/>
      <c r="F68" s="7"/>
      <c r="G68" s="7"/>
      <c r="H68" s="7"/>
      <c r="I68" s="7"/>
    </row>
    <row r="69" customFormat="false" ht="17.4" hidden="false" customHeight="true" outlineLevel="0" collapsed="false">
      <c r="A69" s="7"/>
      <c r="B69" s="104" t="s">
        <v>153</v>
      </c>
      <c r="C69" s="105" t="s">
        <v>154</v>
      </c>
      <c r="D69" s="105" t="str">
        <f aca="false">C69&amp;" ("&amp;B69&amp;")"</f>
        <v>Not Defined (X)</v>
      </c>
      <c r="E69" s="110"/>
      <c r="F69" s="7"/>
      <c r="G69" s="7"/>
      <c r="H69" s="7"/>
      <c r="I69" s="7"/>
    </row>
    <row r="70" customFormat="false" ht="17.4" hidden="false" customHeight="true" outlineLevel="0" collapsed="false">
      <c r="A70" s="7"/>
      <c r="B70" s="106" t="s">
        <v>155</v>
      </c>
      <c r="C70" s="107" t="s">
        <v>193</v>
      </c>
      <c r="D70" s="105" t="str">
        <f aca="false">C70&amp;" ("&amp;B70&amp;")"</f>
        <v>Attacked (A)</v>
      </c>
      <c r="E70" s="111"/>
      <c r="F70" s="7"/>
      <c r="G70" s="7"/>
      <c r="H70" s="7"/>
      <c r="I70" s="7"/>
    </row>
    <row r="71" customFormat="false" ht="17.4" hidden="false" customHeight="true" outlineLevel="0" collapsed="false">
      <c r="A71" s="7"/>
      <c r="B71" s="104" t="s">
        <v>159</v>
      </c>
      <c r="C71" s="105" t="s">
        <v>194</v>
      </c>
      <c r="D71" s="105" t="str">
        <f aca="false">C71&amp;" ("&amp;B71&amp;")"</f>
        <v>Proof of Concept (P)</v>
      </c>
      <c r="E71" s="111"/>
      <c r="F71" s="7"/>
      <c r="G71" s="7"/>
      <c r="H71" s="7"/>
      <c r="I71" s="7"/>
    </row>
    <row r="72" customFormat="false" ht="17.4" hidden="false" customHeight="true" outlineLevel="0" collapsed="false">
      <c r="A72" s="7"/>
      <c r="B72" s="106" t="s">
        <v>166</v>
      </c>
      <c r="C72" s="107" t="s">
        <v>195</v>
      </c>
      <c r="D72" s="105" t="str">
        <f aca="false">C72&amp;" ("&amp;B72&amp;")"</f>
        <v>Unreported (U)</v>
      </c>
      <c r="E72" s="110"/>
      <c r="F72" s="7"/>
      <c r="G72" s="7"/>
      <c r="H72" s="7"/>
      <c r="I72" s="7"/>
    </row>
    <row r="73" customFormat="false" ht="17.4" hidden="false" customHeight="true" outlineLevel="0" collapsed="false">
      <c r="A73" s="7"/>
      <c r="B73" s="7"/>
      <c r="C73" s="7"/>
      <c r="D73" s="7"/>
      <c r="E73" s="7"/>
      <c r="F73" s="7"/>
      <c r="G73" s="7"/>
      <c r="H73" s="7"/>
      <c r="I73" s="7"/>
    </row>
    <row r="74" customFormat="false" ht="16.4" hidden="false" customHeight="true" outlineLevel="0" collapsed="false">
      <c r="B74" s="109" t="s">
        <v>196</v>
      </c>
      <c r="C74" s="109"/>
      <c r="D74" s="109"/>
    </row>
    <row r="75" customFormat="false" ht="17.4" hidden="false" customHeight="false" outlineLevel="0" collapsed="false">
      <c r="B75" s="103" t="s">
        <v>131</v>
      </c>
      <c r="C75" s="103" t="s">
        <v>132</v>
      </c>
      <c r="D75" s="103" t="s">
        <v>133</v>
      </c>
    </row>
    <row r="76" customFormat="false" ht="17.4" hidden="false" customHeight="false" outlineLevel="0" collapsed="false">
      <c r="B76" s="104" t="s">
        <v>138</v>
      </c>
      <c r="C76" s="105" t="s">
        <v>197</v>
      </c>
      <c r="D76" s="105" t="str">
        <f aca="false">C76&amp;" ("&amp;B76&amp;")"</f>
        <v>Safety (S)</v>
      </c>
    </row>
    <row r="77" customFormat="false" ht="17.4" hidden="false" customHeight="false" outlineLevel="0" collapsed="false">
      <c r="B77" s="104" t="s">
        <v>163</v>
      </c>
      <c r="C77" s="105" t="s">
        <v>8</v>
      </c>
      <c r="D77" s="105" t="str">
        <f aca="false">C77&amp;" ("&amp;B77&amp;")"</f>
        <v>High (H)</v>
      </c>
    </row>
    <row r="78" customFormat="false" ht="17.4" hidden="false" customHeight="false" outlineLevel="0" collapsed="false">
      <c r="B78" s="106" t="s">
        <v>157</v>
      </c>
      <c r="C78" s="107" t="s">
        <v>10</v>
      </c>
      <c r="D78" s="105" t="str">
        <f aca="false">C78&amp;" ("&amp;B78&amp;")"</f>
        <v>Low (L)</v>
      </c>
    </row>
    <row r="79" customFormat="false" ht="17.4" hidden="false" customHeight="false" outlineLevel="0" collapsed="false">
      <c r="B79" s="104" t="s">
        <v>136</v>
      </c>
      <c r="C79" s="105" t="s">
        <v>11</v>
      </c>
      <c r="D79" s="105" t="str">
        <f aca="false">C79&amp;" ("&amp;B79&amp;")"</f>
        <v>None (N)</v>
      </c>
    </row>
    <row r="80" customFormat="false" ht="17.4" hidden="false" customHeight="false" outlineLevel="0" collapsed="false">
      <c r="B80" s="7"/>
      <c r="C80" s="7"/>
      <c r="D80" s="7"/>
    </row>
    <row r="81" customFormat="false" ht="16.4" hidden="false" customHeight="true" outlineLevel="0" collapsed="false">
      <c r="B81" s="109" t="s">
        <v>198</v>
      </c>
      <c r="C81" s="109"/>
      <c r="D81" s="109"/>
    </row>
    <row r="82" customFormat="false" ht="17.4" hidden="false" customHeight="false" outlineLevel="0" collapsed="false">
      <c r="B82" s="103" t="s">
        <v>131</v>
      </c>
      <c r="C82" s="103" t="s">
        <v>132</v>
      </c>
      <c r="D82" s="103" t="s">
        <v>133</v>
      </c>
    </row>
    <row r="83" customFormat="false" ht="17.4" hidden="false" customHeight="false" outlineLevel="0" collapsed="false">
      <c r="B83" s="104" t="s">
        <v>138</v>
      </c>
      <c r="C83" s="105" t="s">
        <v>197</v>
      </c>
      <c r="D83" s="105" t="str">
        <f aca="false">C83&amp;" ("&amp;B83&amp;")"</f>
        <v>Safety (S)</v>
      </c>
    </row>
    <row r="84" customFormat="false" ht="17.4" hidden="false" customHeight="false" outlineLevel="0" collapsed="false">
      <c r="B84" s="104" t="s">
        <v>163</v>
      </c>
      <c r="C84" s="105" t="s">
        <v>8</v>
      </c>
      <c r="D84" s="105" t="str">
        <f aca="false">C84&amp;" ("&amp;B84&amp;")"</f>
        <v>High (H)</v>
      </c>
    </row>
    <row r="85" customFormat="false" ht="17.4" hidden="false" customHeight="false" outlineLevel="0" collapsed="false">
      <c r="B85" s="106" t="s">
        <v>157</v>
      </c>
      <c r="C85" s="107" t="s">
        <v>10</v>
      </c>
      <c r="D85" s="105" t="str">
        <f aca="false">C85&amp;" ("&amp;B85&amp;")"</f>
        <v>Low (L)</v>
      </c>
    </row>
    <row r="86" customFormat="false" ht="17.4" hidden="false" customHeight="false" outlineLevel="0" collapsed="false">
      <c r="B86" s="104" t="s">
        <v>136</v>
      </c>
      <c r="C86" s="105" t="s">
        <v>11</v>
      </c>
      <c r="D86" s="105" t="str">
        <f aca="false">C86&amp;" ("&amp;B86&amp;")"</f>
        <v>None (N)</v>
      </c>
    </row>
    <row r="87" customFormat="false" ht="17.4" hidden="false" customHeight="false" outlineLevel="0" collapsed="false">
      <c r="B87" s="7"/>
      <c r="C87" s="7"/>
      <c r="D87" s="7"/>
    </row>
  </sheetData>
  <mergeCells count="20">
    <mergeCell ref="B2:D2"/>
    <mergeCell ref="F2:H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M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false" hidden="false" outlineLevel="0" max="1" min="1" style="1" width="11.53"/>
    <col collapsed="false" customWidth="true" hidden="false" outlineLevel="0" max="2" min="2" style="26" width="7.37"/>
    <col collapsed="false" customWidth="true" hidden="false" outlineLevel="0" max="3" min="3" style="1" width="27.95"/>
    <col collapsed="false" customWidth="true" hidden="false" outlineLevel="0" max="4" min="4" style="1" width="31.86"/>
    <col collapsed="false" customWidth="false" hidden="false" outlineLevel="0" max="6" min="5" style="1" width="11.53"/>
    <col collapsed="false" customWidth="true" hidden="false" outlineLevel="0" max="7" min="7" style="1" width="21.32"/>
    <col collapsed="false" customWidth="true" hidden="false" outlineLevel="0" max="8" min="8" style="1" width="23.96"/>
    <col collapsed="false" customWidth="false" hidden="false" outlineLevel="0" max="10" min="9" style="1" width="11.53"/>
    <col collapsed="false" customWidth="true" hidden="false" outlineLevel="0" max="11" min="11" style="1" width="22.4"/>
    <col collapsed="false" customWidth="true" hidden="false" outlineLevel="0" max="12" min="12" style="1" width="28.66"/>
    <col collapsed="false" customWidth="false" hidden="false" outlineLevel="0" max="16358" min="13" style="1" width="11.53"/>
  </cols>
  <sheetData>
    <row r="1" customFormat="false" ht="17.4" hidden="false" customHeight="true" outlineLevel="0" collapsed="false">
      <c r="A1" s="9"/>
      <c r="B1" s="112" t="s">
        <v>199</v>
      </c>
      <c r="C1" s="7"/>
      <c r="D1" s="7"/>
      <c r="E1" s="9"/>
      <c r="F1" s="112" t="s">
        <v>200</v>
      </c>
      <c r="G1" s="7"/>
      <c r="H1" s="7"/>
      <c r="I1" s="7"/>
      <c r="J1" s="112" t="s">
        <v>201</v>
      </c>
      <c r="K1" s="7"/>
      <c r="L1" s="7"/>
      <c r="M1" s="7"/>
    </row>
    <row r="2" customFormat="false" ht="17.4" hidden="false" customHeight="true" outlineLevel="0" collapsed="false">
      <c r="A2" s="7"/>
      <c r="B2" s="113" t="s">
        <v>202</v>
      </c>
      <c r="C2" s="102"/>
      <c r="D2" s="102"/>
      <c r="E2" s="7"/>
      <c r="F2" s="113" t="s">
        <v>203</v>
      </c>
      <c r="G2" s="102"/>
      <c r="H2" s="102"/>
      <c r="I2" s="7"/>
      <c r="J2" s="113" t="s">
        <v>204</v>
      </c>
      <c r="K2" s="102"/>
      <c r="L2" s="102"/>
      <c r="M2" s="7"/>
    </row>
    <row r="3" customFormat="false" ht="17.4" hidden="false" customHeight="true" outlineLevel="0" collapsed="false">
      <c r="A3" s="7"/>
      <c r="B3" s="114" t="s">
        <v>131</v>
      </c>
      <c r="C3" s="103" t="s">
        <v>132</v>
      </c>
      <c r="D3" s="103" t="s">
        <v>132</v>
      </c>
      <c r="E3" s="7"/>
      <c r="F3" s="114"/>
      <c r="G3" s="103" t="s">
        <v>132</v>
      </c>
      <c r="H3" s="103" t="s">
        <v>132</v>
      </c>
      <c r="I3" s="7"/>
      <c r="J3" s="114"/>
      <c r="K3" s="103" t="s">
        <v>132</v>
      </c>
      <c r="L3" s="103" t="s">
        <v>132</v>
      </c>
      <c r="M3" s="7"/>
    </row>
    <row r="4" customFormat="false" ht="17.4" hidden="false" customHeight="true" outlineLevel="0" collapsed="false">
      <c r="A4" s="7"/>
      <c r="B4" s="115" t="s">
        <v>205</v>
      </c>
      <c r="C4" s="105" t="s">
        <v>7</v>
      </c>
      <c r="D4" s="105" t="str">
        <f aca="false">C4&amp;" ("&amp;B4&amp;")"</f>
        <v>Critical (C)</v>
      </c>
      <c r="E4" s="7"/>
      <c r="F4" s="115" t="s">
        <v>136</v>
      </c>
      <c r="G4" s="105" t="s">
        <v>11</v>
      </c>
      <c r="H4" s="105" t="str">
        <f aca="false">G4&amp;" ("&amp;F4&amp;")"</f>
        <v>None (N)</v>
      </c>
      <c r="I4" s="7"/>
      <c r="J4" s="115" t="s">
        <v>205</v>
      </c>
      <c r="K4" s="105" t="s">
        <v>7</v>
      </c>
      <c r="L4" s="105" t="str">
        <f aca="false">K4&amp;" ("&amp;J4&amp;")"</f>
        <v>Critical (C)</v>
      </c>
      <c r="M4" s="7"/>
    </row>
    <row r="5" customFormat="false" ht="17.4" hidden="false" customHeight="true" outlineLevel="0" collapsed="false">
      <c r="A5" s="7"/>
      <c r="B5" s="116" t="s">
        <v>163</v>
      </c>
      <c r="C5" s="105" t="s">
        <v>8</v>
      </c>
      <c r="D5" s="105" t="str">
        <f aca="false">C5&amp;" ("&amp;B5&amp;")"</f>
        <v>High (H)</v>
      </c>
      <c r="E5" s="7"/>
      <c r="F5" s="116" t="s">
        <v>157</v>
      </c>
      <c r="G5" s="105" t="s">
        <v>206</v>
      </c>
      <c r="H5" s="105" t="str">
        <f aca="false">G5&amp;" ("&amp;F5&amp;")"</f>
        <v>Limited / Guest (L)</v>
      </c>
      <c r="I5" s="7"/>
      <c r="J5" s="116" t="s">
        <v>163</v>
      </c>
      <c r="K5" s="105" t="s">
        <v>8</v>
      </c>
      <c r="L5" s="105" t="str">
        <f aca="false">K5&amp;" ("&amp;J5&amp;")"</f>
        <v>High (H)</v>
      </c>
      <c r="M5" s="7"/>
    </row>
    <row r="6" customFormat="false" ht="17.4" hidden="false" customHeight="true" outlineLevel="0" collapsed="false">
      <c r="A6" s="7"/>
      <c r="B6" s="116" t="s">
        <v>178</v>
      </c>
      <c r="C6" s="105" t="s">
        <v>9</v>
      </c>
      <c r="D6" s="105" t="str">
        <f aca="false">C6&amp;" ("&amp;B6&amp;")"</f>
        <v>Medium (M)</v>
      </c>
      <c r="E6" s="7"/>
      <c r="F6" s="116" t="s">
        <v>207</v>
      </c>
      <c r="G6" s="105" t="s">
        <v>208</v>
      </c>
      <c r="H6" s="105" t="str">
        <f aca="false">G6&amp;" ("&amp;F6&amp;")"</f>
        <v>Regular User (RU)</v>
      </c>
      <c r="I6" s="7"/>
      <c r="J6" s="116" t="s">
        <v>178</v>
      </c>
      <c r="K6" s="105" t="s">
        <v>9</v>
      </c>
      <c r="L6" s="105" t="str">
        <f aca="false">K6&amp;" ("&amp;J6&amp;")"</f>
        <v>Medium (M)</v>
      </c>
      <c r="M6" s="7"/>
    </row>
    <row r="7" customFormat="false" ht="17.4" hidden="false" customHeight="true" outlineLevel="0" collapsed="false">
      <c r="A7" s="7"/>
      <c r="B7" s="116" t="s">
        <v>157</v>
      </c>
      <c r="C7" s="105" t="s">
        <v>10</v>
      </c>
      <c r="D7" s="105" t="str">
        <f aca="false">C7&amp;" ("&amp;B7&amp;")"</f>
        <v>Low (L)</v>
      </c>
      <c r="E7" s="7"/>
      <c r="F7" s="116" t="s">
        <v>159</v>
      </c>
      <c r="G7" s="105" t="s">
        <v>209</v>
      </c>
      <c r="H7" s="105" t="str">
        <f aca="false">G7&amp;" ("&amp;F7&amp;")"</f>
        <v>Partially-Privileged User (P)</v>
      </c>
      <c r="I7" s="7"/>
      <c r="J7" s="116" t="s">
        <v>157</v>
      </c>
      <c r="K7" s="105" t="s">
        <v>10</v>
      </c>
      <c r="L7" s="105" t="str">
        <f aca="false">K7&amp;" ("&amp;J7&amp;")"</f>
        <v>Low (L)</v>
      </c>
      <c r="M7" s="7"/>
    </row>
    <row r="8" customFormat="false" ht="17.4" hidden="false" customHeight="true" outlineLevel="0" collapsed="false">
      <c r="A8" s="7"/>
      <c r="B8" s="116" t="s">
        <v>136</v>
      </c>
      <c r="C8" s="105" t="s">
        <v>11</v>
      </c>
      <c r="D8" s="105" t="str">
        <f aca="false">C8&amp;" ("&amp;B8&amp;")"</f>
        <v>None (N)</v>
      </c>
      <c r="E8" s="7"/>
      <c r="F8" s="116" t="s">
        <v>155</v>
      </c>
      <c r="G8" s="105" t="s">
        <v>210</v>
      </c>
      <c r="H8" s="105" t="str">
        <f aca="false">G8&amp;" ("&amp;F8&amp;")"</f>
        <v>Administrator (A)</v>
      </c>
      <c r="I8" s="7"/>
      <c r="J8" s="116" t="s">
        <v>136</v>
      </c>
      <c r="K8" s="105" t="s">
        <v>11</v>
      </c>
      <c r="L8" s="105" t="str">
        <f aca="false">K8&amp;" ("&amp;J8&amp;")"</f>
        <v>None (N)</v>
      </c>
      <c r="M8" s="7"/>
    </row>
    <row r="9" customFormat="false" ht="17.4" hidden="false" customHeight="true" outlineLevel="0" collapsed="false">
      <c r="A9" s="7"/>
      <c r="B9" s="116" t="s">
        <v>146</v>
      </c>
      <c r="C9" s="105" t="s">
        <v>211</v>
      </c>
      <c r="D9" s="105" t="str">
        <f aca="false">C9&amp;" ("&amp;B9&amp;")"</f>
        <v>Default (D)</v>
      </c>
      <c r="E9" s="7"/>
      <c r="F9" s="116" t="s">
        <v>146</v>
      </c>
      <c r="G9" s="105" t="s">
        <v>211</v>
      </c>
      <c r="H9" s="105" t="str">
        <f aca="false">G9&amp;" ("&amp;F9&amp;")"</f>
        <v>Default (D)</v>
      </c>
      <c r="I9" s="7"/>
      <c r="J9" s="116" t="s">
        <v>146</v>
      </c>
      <c r="K9" s="105" t="s">
        <v>211</v>
      </c>
      <c r="L9" s="105" t="str">
        <f aca="false">K9&amp;" ("&amp;J9&amp;")"</f>
        <v>Default (D)</v>
      </c>
      <c r="M9" s="7"/>
    </row>
    <row r="10" customFormat="false" ht="17.4" hidden="false" customHeight="true" outlineLevel="0" collapsed="false">
      <c r="A10" s="7"/>
      <c r="B10" s="116" t="s">
        <v>212</v>
      </c>
      <c r="C10" s="105" t="s">
        <v>213</v>
      </c>
      <c r="D10" s="105" t="str">
        <f aca="false">C10&amp;" ("&amp;B10&amp;")"</f>
        <v>Unknown (UK)</v>
      </c>
      <c r="E10" s="7"/>
      <c r="F10" s="116" t="s">
        <v>212</v>
      </c>
      <c r="G10" s="105" t="s">
        <v>213</v>
      </c>
      <c r="H10" s="105" t="str">
        <f aca="false">G10&amp;" ("&amp;F10&amp;")"</f>
        <v>Unknown (UK)</v>
      </c>
      <c r="I10" s="7"/>
      <c r="J10" s="116" t="s">
        <v>212</v>
      </c>
      <c r="K10" s="105" t="s">
        <v>213</v>
      </c>
      <c r="L10" s="105" t="str">
        <f aca="false">K10&amp;" ("&amp;J10&amp;")"</f>
        <v>Unknown (UK)</v>
      </c>
      <c r="M10" s="7"/>
    </row>
    <row r="11" customFormat="false" ht="17.4" hidden="false" customHeight="true" outlineLevel="0" collapsed="false">
      <c r="A11" s="7"/>
      <c r="B11" s="116" t="s">
        <v>214</v>
      </c>
      <c r="C11" s="105" t="s">
        <v>215</v>
      </c>
      <c r="D11" s="105" t="str">
        <f aca="false">C11&amp;" ("&amp;B11&amp;")"</f>
        <v>Not Applicable (NA)</v>
      </c>
      <c r="E11" s="7"/>
      <c r="F11" s="116" t="s">
        <v>214</v>
      </c>
      <c r="G11" s="105" t="s">
        <v>215</v>
      </c>
      <c r="H11" s="105" t="str">
        <f aca="false">G11&amp;" ("&amp;F11&amp;")"</f>
        <v>Not Applicable (NA)</v>
      </c>
      <c r="I11" s="7"/>
      <c r="J11" s="116" t="s">
        <v>214</v>
      </c>
      <c r="K11" s="105" t="s">
        <v>215</v>
      </c>
      <c r="L11" s="105" t="str">
        <f aca="false">K11&amp;" ("&amp;J11&amp;")"</f>
        <v>Not Applicable (NA)</v>
      </c>
      <c r="M11" s="7"/>
    </row>
    <row r="12" customFormat="false" ht="17.4" hidden="false" customHeight="true" outlineLevel="0" collapsed="false">
      <c r="A12" s="7"/>
      <c r="B12" s="112"/>
      <c r="C12" s="7"/>
      <c r="D12" s="7"/>
      <c r="E12" s="7"/>
      <c r="F12" s="112"/>
      <c r="G12" s="7"/>
      <c r="H12" s="7"/>
      <c r="I12" s="7"/>
      <c r="J12" s="112"/>
      <c r="K12" s="7"/>
      <c r="L12" s="7"/>
      <c r="M12" s="7"/>
    </row>
    <row r="13" customFormat="false" ht="17.4" hidden="false" customHeight="true" outlineLevel="0" collapsed="false">
      <c r="A13" s="7"/>
      <c r="B13" s="113" t="s">
        <v>216</v>
      </c>
      <c r="C13" s="102"/>
      <c r="D13" s="102"/>
      <c r="E13" s="7"/>
      <c r="F13" s="113" t="s">
        <v>217</v>
      </c>
      <c r="G13" s="102"/>
      <c r="H13" s="102"/>
      <c r="I13" s="7"/>
      <c r="J13" s="113" t="s">
        <v>218</v>
      </c>
      <c r="K13" s="102"/>
      <c r="L13" s="102"/>
      <c r="M13" s="7"/>
    </row>
    <row r="14" customFormat="false" ht="17.4" hidden="false" customHeight="true" outlineLevel="0" collapsed="false">
      <c r="A14" s="7"/>
      <c r="B14" s="114"/>
      <c r="C14" s="103" t="s">
        <v>132</v>
      </c>
      <c r="D14" s="103" t="s">
        <v>132</v>
      </c>
      <c r="E14" s="7"/>
      <c r="F14" s="114"/>
      <c r="G14" s="103" t="s">
        <v>132</v>
      </c>
      <c r="H14" s="103" t="s">
        <v>132</v>
      </c>
      <c r="I14" s="7"/>
      <c r="J14" s="114"/>
      <c r="K14" s="103" t="s">
        <v>132</v>
      </c>
      <c r="L14" s="103" t="s">
        <v>132</v>
      </c>
      <c r="M14" s="7"/>
    </row>
    <row r="15" customFormat="false" ht="17.4" hidden="false" customHeight="true" outlineLevel="0" collapsed="false">
      <c r="A15" s="7"/>
      <c r="B15" s="115" t="s">
        <v>136</v>
      </c>
      <c r="C15" s="105" t="s">
        <v>11</v>
      </c>
      <c r="D15" s="105" t="str">
        <f aca="false">C15&amp;" ("&amp;B15&amp;")"</f>
        <v>None (N)</v>
      </c>
      <c r="E15" s="7"/>
      <c r="F15" s="115" t="s">
        <v>155</v>
      </c>
      <c r="G15" s="105" t="s">
        <v>219</v>
      </c>
      <c r="H15" s="105" t="str">
        <f aca="false">G15&amp;" ("&amp;F15&amp;")"</f>
        <v>Application (A)</v>
      </c>
      <c r="I15" s="7"/>
      <c r="J15" s="115" t="s">
        <v>163</v>
      </c>
      <c r="K15" s="105" t="s">
        <v>8</v>
      </c>
      <c r="L15" s="105" t="str">
        <f aca="false">K15&amp;" ("&amp;J15&amp;")"</f>
        <v>High (H)</v>
      </c>
      <c r="M15" s="7"/>
    </row>
    <row r="16" customFormat="false" ht="17.4" hidden="false" customHeight="true" outlineLevel="0" collapsed="false">
      <c r="A16" s="7"/>
      <c r="B16" s="116" t="s">
        <v>157</v>
      </c>
      <c r="C16" s="105" t="s">
        <v>220</v>
      </c>
      <c r="D16" s="105" t="str">
        <f aca="false">C16&amp;" ("&amp;B16&amp;")"</f>
        <v>Limited (L)</v>
      </c>
      <c r="E16" s="7"/>
      <c r="F16" s="115" t="s">
        <v>138</v>
      </c>
      <c r="G16" s="105" t="s">
        <v>221</v>
      </c>
      <c r="H16" s="105" t="str">
        <f aca="false">G16&amp;" ("&amp;F16&amp;")"</f>
        <v>System (S)</v>
      </c>
      <c r="I16" s="7"/>
      <c r="J16" s="116" t="s">
        <v>178</v>
      </c>
      <c r="K16" s="105" t="s">
        <v>9</v>
      </c>
      <c r="L16" s="105" t="str">
        <f aca="false">K16&amp;" ("&amp;J16&amp;")"</f>
        <v>Medium (M)</v>
      </c>
      <c r="M16" s="7"/>
    </row>
    <row r="17" customFormat="false" ht="17.4" hidden="false" customHeight="true" outlineLevel="0" collapsed="false">
      <c r="A17" s="7"/>
      <c r="B17" s="116" t="s">
        <v>178</v>
      </c>
      <c r="C17" s="105" t="s">
        <v>22</v>
      </c>
      <c r="D17" s="105" t="str">
        <f aca="false">C17&amp;" ("&amp;B17&amp;")"</f>
        <v>Moderate (M)</v>
      </c>
      <c r="E17" s="7"/>
      <c r="F17" s="115" t="s">
        <v>136</v>
      </c>
      <c r="G17" s="105" t="s">
        <v>152</v>
      </c>
      <c r="H17" s="105" t="str">
        <f aca="false">G17&amp;" ("&amp;F17&amp;")"</f>
        <v>Network (N)</v>
      </c>
      <c r="I17" s="7"/>
      <c r="J17" s="116" t="s">
        <v>157</v>
      </c>
      <c r="K17" s="105" t="s">
        <v>10</v>
      </c>
      <c r="L17" s="105" t="str">
        <f aca="false">K17&amp;" ("&amp;J17&amp;")"</f>
        <v>Low (L)</v>
      </c>
      <c r="M17" s="7"/>
    </row>
    <row r="18" customFormat="false" ht="17.4" hidden="false" customHeight="true" outlineLevel="0" collapsed="false">
      <c r="A18" s="7"/>
      <c r="B18" s="116" t="s">
        <v>144</v>
      </c>
      <c r="C18" s="105" t="s">
        <v>222</v>
      </c>
      <c r="D18" s="105" t="str">
        <f aca="false">C18&amp;" ("&amp;B18&amp;")"</f>
        <v>Indirect (Defense-in-Depth) (I)</v>
      </c>
      <c r="E18" s="7"/>
      <c r="F18" s="115" t="s">
        <v>148</v>
      </c>
      <c r="G18" s="105" t="s">
        <v>223</v>
      </c>
      <c r="H18" s="105" t="str">
        <f aca="false">G18&amp;" ("&amp;F18&amp;")"</f>
        <v>Enterprise Infra. (E)</v>
      </c>
      <c r="I18" s="7"/>
      <c r="J18" s="116" t="s">
        <v>146</v>
      </c>
      <c r="K18" s="105" t="s">
        <v>211</v>
      </c>
      <c r="L18" s="105" t="str">
        <f aca="false">K18&amp;" ("&amp;J18&amp;")"</f>
        <v>Default (D)</v>
      </c>
      <c r="M18" s="7"/>
    </row>
    <row r="19" customFormat="false" ht="17.4" hidden="false" customHeight="true" outlineLevel="0" collapsed="false">
      <c r="A19" s="7"/>
      <c r="B19" s="116" t="s">
        <v>224</v>
      </c>
      <c r="C19" s="105" t="s">
        <v>225</v>
      </c>
      <c r="D19" s="105" t="str">
        <f aca="false">C19&amp;" ("&amp;B19&amp;")"</f>
        <v>Best-Available (B)</v>
      </c>
      <c r="E19" s="7"/>
      <c r="F19" s="115" t="s">
        <v>146</v>
      </c>
      <c r="G19" s="105" t="s">
        <v>211</v>
      </c>
      <c r="H19" s="105" t="str">
        <f aca="false">G19&amp;" ("&amp;F19&amp;")"</f>
        <v>Default (D)</v>
      </c>
      <c r="I19" s="7"/>
      <c r="J19" s="116" t="s">
        <v>212</v>
      </c>
      <c r="K19" s="105" t="s">
        <v>213</v>
      </c>
      <c r="L19" s="105" t="str">
        <f aca="false">K19&amp;" ("&amp;J19&amp;")"</f>
        <v>Unknown (UK)</v>
      </c>
      <c r="M19" s="7"/>
    </row>
    <row r="20" customFormat="false" ht="17.4" hidden="false" customHeight="true" outlineLevel="0" collapsed="false">
      <c r="A20" s="7"/>
      <c r="B20" s="116" t="s">
        <v>205</v>
      </c>
      <c r="C20" s="105" t="s">
        <v>226</v>
      </c>
      <c r="D20" s="105" t="str">
        <f aca="false">C20&amp;" ("&amp;B20&amp;")"</f>
        <v>Complete (C)</v>
      </c>
      <c r="E20" s="7"/>
      <c r="F20" s="115" t="s">
        <v>212</v>
      </c>
      <c r="G20" s="105" t="s">
        <v>213</v>
      </c>
      <c r="H20" s="105" t="str">
        <f aca="false">G20&amp;" ("&amp;F20&amp;")"</f>
        <v>Unknown (UK)</v>
      </c>
      <c r="I20" s="7"/>
      <c r="J20" s="116" t="s">
        <v>214</v>
      </c>
      <c r="K20" s="105" t="s">
        <v>215</v>
      </c>
      <c r="L20" s="105" t="str">
        <f aca="false">K20&amp;" ("&amp;J20&amp;")"</f>
        <v>Not Applicable (NA)</v>
      </c>
      <c r="M20" s="7"/>
    </row>
    <row r="21" customFormat="false" ht="17.4" hidden="false" customHeight="true" outlineLevel="0" collapsed="false">
      <c r="A21" s="7"/>
      <c r="B21" s="116" t="s">
        <v>146</v>
      </c>
      <c r="C21" s="105" t="s">
        <v>211</v>
      </c>
      <c r="D21" s="105" t="str">
        <f aca="false">C21&amp;" ("&amp;B21&amp;")"</f>
        <v>Default (D)</v>
      </c>
      <c r="E21" s="7"/>
      <c r="F21" s="115" t="s">
        <v>214</v>
      </c>
      <c r="G21" s="105" t="s">
        <v>215</v>
      </c>
      <c r="H21" s="105" t="str">
        <f aca="false">G21&amp;" ("&amp;F21&amp;")"</f>
        <v>Not Applicable (NA)</v>
      </c>
      <c r="I21" s="7"/>
      <c r="J21" s="112"/>
      <c r="K21" s="7"/>
      <c r="L21" s="7"/>
      <c r="M21" s="7"/>
    </row>
    <row r="22" customFormat="false" ht="17.4" hidden="false" customHeight="true" outlineLevel="0" collapsed="false">
      <c r="A22" s="7"/>
      <c r="B22" s="116" t="s">
        <v>212</v>
      </c>
      <c r="C22" s="105" t="s">
        <v>213</v>
      </c>
      <c r="D22" s="105" t="str">
        <f aca="false">C22&amp;" ("&amp;B22&amp;")"</f>
        <v>Unknown (UK)</v>
      </c>
      <c r="E22" s="7"/>
      <c r="F22" s="112"/>
      <c r="G22" s="7"/>
      <c r="H22" s="7"/>
      <c r="I22" s="7"/>
      <c r="J22" s="113" t="s">
        <v>227</v>
      </c>
      <c r="K22" s="102"/>
      <c r="L22" s="102"/>
      <c r="M22" s="7"/>
    </row>
    <row r="23" customFormat="false" ht="17.4" hidden="false" customHeight="true" outlineLevel="0" collapsed="false">
      <c r="A23" s="7"/>
      <c r="B23" s="116" t="s">
        <v>214</v>
      </c>
      <c r="C23" s="105" t="s">
        <v>215</v>
      </c>
      <c r="D23" s="105" t="str">
        <f aca="false">C23&amp;" ("&amp;B23&amp;")"</f>
        <v>Not Applicable (NA)</v>
      </c>
      <c r="E23" s="7"/>
      <c r="F23" s="113" t="s">
        <v>228</v>
      </c>
      <c r="G23" s="102"/>
      <c r="H23" s="102"/>
      <c r="I23" s="7"/>
      <c r="J23" s="114"/>
      <c r="K23" s="103" t="s">
        <v>132</v>
      </c>
      <c r="L23" s="103" t="s">
        <v>132</v>
      </c>
      <c r="M23" s="7"/>
    </row>
    <row r="24" customFormat="false" ht="17.4" hidden="false" customHeight="true" outlineLevel="0" collapsed="false">
      <c r="A24" s="7"/>
      <c r="B24" s="112"/>
      <c r="C24" s="7"/>
      <c r="D24" s="7"/>
      <c r="E24" s="7"/>
      <c r="F24" s="114"/>
      <c r="G24" s="103" t="s">
        <v>132</v>
      </c>
      <c r="H24" s="103" t="s">
        <v>132</v>
      </c>
      <c r="I24" s="7"/>
      <c r="J24" s="115" t="s">
        <v>163</v>
      </c>
      <c r="K24" s="105" t="s">
        <v>8</v>
      </c>
      <c r="L24" s="105" t="str">
        <f aca="false">K24&amp;" ("&amp;J24&amp;")"</f>
        <v>High (H)</v>
      </c>
      <c r="M24" s="7"/>
    </row>
    <row r="25" customFormat="false" ht="17.4" hidden="false" customHeight="true" outlineLevel="0" collapsed="false">
      <c r="A25" s="7"/>
      <c r="B25" s="113" t="s">
        <v>229</v>
      </c>
      <c r="C25" s="102"/>
      <c r="D25" s="102"/>
      <c r="E25" s="7"/>
      <c r="F25" s="115" t="s">
        <v>144</v>
      </c>
      <c r="G25" s="105" t="s">
        <v>230</v>
      </c>
      <c r="H25" s="105" t="str">
        <f aca="false">G25&amp;" ("&amp;F25&amp;")"</f>
        <v>Internet (I)</v>
      </c>
      <c r="I25" s="7"/>
      <c r="J25" s="115" t="s">
        <v>178</v>
      </c>
      <c r="K25" s="105" t="s">
        <v>9</v>
      </c>
      <c r="L25" s="105" t="str">
        <f aca="false">K25&amp;" ("&amp;J25&amp;")"</f>
        <v>Medium (M)</v>
      </c>
      <c r="M25" s="7"/>
    </row>
    <row r="26" customFormat="false" ht="17.4" hidden="false" customHeight="true" outlineLevel="0" collapsed="false">
      <c r="A26" s="7"/>
      <c r="B26" s="114"/>
      <c r="C26" s="103" t="s">
        <v>132</v>
      </c>
      <c r="D26" s="103" t="s">
        <v>132</v>
      </c>
      <c r="E26" s="7"/>
      <c r="F26" s="116" t="s">
        <v>142</v>
      </c>
      <c r="G26" s="105" t="s">
        <v>231</v>
      </c>
      <c r="H26" s="105" t="str">
        <f aca="false">G26&amp;" ("&amp;F26&amp;")"</f>
        <v>Intranet (R)</v>
      </c>
      <c r="I26" s="7"/>
      <c r="J26" s="115" t="s">
        <v>157</v>
      </c>
      <c r="K26" s="105" t="s">
        <v>10</v>
      </c>
      <c r="L26" s="105" t="str">
        <f aca="false">K26&amp;" ("&amp;J26&amp;")"</f>
        <v>Low (L)</v>
      </c>
      <c r="M26" s="7"/>
    </row>
    <row r="27" customFormat="false" ht="17.4" hidden="false" customHeight="true" outlineLevel="0" collapsed="false">
      <c r="A27" s="7"/>
      <c r="B27" s="115" t="s">
        <v>155</v>
      </c>
      <c r="C27" s="105" t="s">
        <v>210</v>
      </c>
      <c r="D27" s="105" t="str">
        <f aca="false">C27&amp;" ("&amp;B27&amp;")"</f>
        <v>Administrator (A)</v>
      </c>
      <c r="E27" s="7"/>
      <c r="F27" s="116" t="s">
        <v>232</v>
      </c>
      <c r="G27" s="105" t="s">
        <v>233</v>
      </c>
      <c r="H27" s="105" t="str">
        <f aca="false">G27&amp;" ("&amp;F27&amp;")"</f>
        <v>Private Network (V)</v>
      </c>
      <c r="I27" s="7"/>
      <c r="J27" s="115" t="s">
        <v>136</v>
      </c>
      <c r="K27" s="105" t="s">
        <v>11</v>
      </c>
      <c r="L27" s="105" t="str">
        <f aca="false">K27&amp;" ("&amp;J27&amp;")"</f>
        <v>None (N)</v>
      </c>
      <c r="M27" s="7"/>
    </row>
    <row r="28" customFormat="false" ht="17.4" hidden="false" customHeight="true" outlineLevel="0" collapsed="false">
      <c r="A28" s="7"/>
      <c r="B28" s="115" t="s">
        <v>159</v>
      </c>
      <c r="C28" s="105" t="s">
        <v>209</v>
      </c>
      <c r="D28" s="105" t="str">
        <f aca="false">C28&amp;" ("&amp;B28&amp;")"</f>
        <v>Partially-Privileged User (P)</v>
      </c>
      <c r="E28" s="7"/>
      <c r="F28" s="116" t="s">
        <v>155</v>
      </c>
      <c r="G28" s="105" t="s">
        <v>234</v>
      </c>
      <c r="H28" s="105" t="str">
        <f aca="false">G28&amp;" ("&amp;F28&amp;")"</f>
        <v>Adjacent Network (A)</v>
      </c>
      <c r="I28" s="7"/>
      <c r="J28" s="115" t="s">
        <v>146</v>
      </c>
      <c r="K28" s="105" t="s">
        <v>211</v>
      </c>
      <c r="L28" s="105" t="str">
        <f aca="false">K28&amp;" ("&amp;J28&amp;")"</f>
        <v>Default (D)</v>
      </c>
      <c r="M28" s="7"/>
    </row>
    <row r="29" customFormat="false" ht="17.4" hidden="false" customHeight="true" outlineLevel="0" collapsed="false">
      <c r="A29" s="7"/>
      <c r="B29" s="115" t="s">
        <v>207</v>
      </c>
      <c r="C29" s="105" t="s">
        <v>208</v>
      </c>
      <c r="D29" s="105" t="str">
        <f aca="false">C29&amp;" ("&amp;B29&amp;")"</f>
        <v>Regular User (RU)</v>
      </c>
      <c r="E29" s="7"/>
      <c r="F29" s="116" t="s">
        <v>157</v>
      </c>
      <c r="G29" s="105" t="s">
        <v>158</v>
      </c>
      <c r="H29" s="105" t="str">
        <f aca="false">G29&amp;" ("&amp;F29&amp;")"</f>
        <v>Local (L)</v>
      </c>
      <c r="I29" s="7"/>
      <c r="J29" s="115" t="s">
        <v>212</v>
      </c>
      <c r="K29" s="105" t="s">
        <v>213</v>
      </c>
      <c r="L29" s="105" t="str">
        <f aca="false">K29&amp;" ("&amp;J29&amp;")"</f>
        <v>Unknown (UK)</v>
      </c>
      <c r="M29" s="7"/>
    </row>
    <row r="30" customFormat="false" ht="17.4" hidden="false" customHeight="true" outlineLevel="0" collapsed="false">
      <c r="A30" s="7"/>
      <c r="B30" s="115" t="s">
        <v>157</v>
      </c>
      <c r="C30" s="105" t="s">
        <v>206</v>
      </c>
      <c r="D30" s="105" t="str">
        <f aca="false">C30&amp;" ("&amp;B30&amp;")"</f>
        <v>Limited / Guest (L)</v>
      </c>
      <c r="E30" s="7"/>
      <c r="F30" s="116" t="s">
        <v>159</v>
      </c>
      <c r="G30" s="105" t="s">
        <v>161</v>
      </c>
      <c r="H30" s="105" t="str">
        <f aca="false">G30&amp;" ("&amp;F30&amp;")"</f>
        <v>Physical (P)</v>
      </c>
      <c r="I30" s="7"/>
      <c r="J30" s="115" t="s">
        <v>214</v>
      </c>
      <c r="K30" s="105" t="s">
        <v>215</v>
      </c>
      <c r="L30" s="105" t="str">
        <f aca="false">K30&amp;" ("&amp;J30&amp;")"</f>
        <v>Not Applicable (NA)</v>
      </c>
      <c r="M30" s="7"/>
    </row>
    <row r="31" customFormat="false" ht="17.4" hidden="false" customHeight="true" outlineLevel="0" collapsed="false">
      <c r="A31" s="7"/>
      <c r="B31" s="115" t="s">
        <v>136</v>
      </c>
      <c r="C31" s="105" t="s">
        <v>11</v>
      </c>
      <c r="D31" s="105" t="str">
        <f aca="false">C31&amp;" ("&amp;B31&amp;")"</f>
        <v>None (N)</v>
      </c>
      <c r="E31" s="7"/>
      <c r="F31" s="116" t="s">
        <v>146</v>
      </c>
      <c r="G31" s="105" t="s">
        <v>211</v>
      </c>
      <c r="H31" s="105" t="str">
        <f aca="false">G31&amp;" ("&amp;F31&amp;")"</f>
        <v>Default (D)</v>
      </c>
      <c r="I31" s="7"/>
      <c r="J31" s="112"/>
      <c r="K31" s="7"/>
      <c r="L31" s="7"/>
      <c r="M31" s="7"/>
    </row>
    <row r="32" customFormat="false" ht="17.4" hidden="false" customHeight="true" outlineLevel="0" collapsed="false">
      <c r="A32" s="7"/>
      <c r="B32" s="116" t="s">
        <v>146</v>
      </c>
      <c r="C32" s="105" t="s">
        <v>211</v>
      </c>
      <c r="D32" s="105" t="str">
        <f aca="false">C32&amp;" ("&amp;B32&amp;")"</f>
        <v>Default (D)</v>
      </c>
      <c r="E32" s="7"/>
      <c r="F32" s="116" t="s">
        <v>166</v>
      </c>
      <c r="G32" s="105" t="s">
        <v>213</v>
      </c>
      <c r="H32" s="105" t="str">
        <f aca="false">G32&amp;" ("&amp;F32&amp;")"</f>
        <v>Unknown (U)</v>
      </c>
      <c r="I32" s="7"/>
      <c r="J32" s="113" t="s">
        <v>235</v>
      </c>
      <c r="K32" s="102"/>
      <c r="L32" s="102"/>
      <c r="M32" s="7"/>
    </row>
    <row r="33" customFormat="false" ht="17.4" hidden="false" customHeight="true" outlineLevel="0" collapsed="false">
      <c r="A33" s="7"/>
      <c r="B33" s="116" t="s">
        <v>212</v>
      </c>
      <c r="C33" s="105" t="s">
        <v>213</v>
      </c>
      <c r="D33" s="105" t="str">
        <f aca="false">C33&amp;" ("&amp;B33&amp;")"</f>
        <v>Unknown (UK)</v>
      </c>
      <c r="E33" s="7"/>
      <c r="F33" s="116" t="s">
        <v>214</v>
      </c>
      <c r="G33" s="105" t="s">
        <v>215</v>
      </c>
      <c r="H33" s="105" t="str">
        <f aca="false">G33&amp;" ("&amp;F33&amp;")"</f>
        <v>Not Applicable (NA)</v>
      </c>
      <c r="I33" s="7"/>
      <c r="J33" s="114"/>
      <c r="K33" s="103" t="s">
        <v>132</v>
      </c>
      <c r="L33" s="103" t="s">
        <v>132</v>
      </c>
      <c r="M33" s="7"/>
    </row>
    <row r="34" customFormat="false" ht="17.4" hidden="false" customHeight="true" outlineLevel="0" collapsed="false">
      <c r="A34" s="7"/>
      <c r="B34" s="116" t="s">
        <v>214</v>
      </c>
      <c r="C34" s="105" t="s">
        <v>215</v>
      </c>
      <c r="D34" s="105" t="str">
        <f aca="false">C34&amp;" ("&amp;B34&amp;")"</f>
        <v>Not Applicable (NA)</v>
      </c>
      <c r="E34" s="7"/>
      <c r="F34" s="112"/>
      <c r="G34" s="7"/>
      <c r="H34" s="7"/>
      <c r="I34" s="7"/>
      <c r="J34" s="115" t="s">
        <v>136</v>
      </c>
      <c r="K34" s="105" t="s">
        <v>11</v>
      </c>
      <c r="L34" s="105" t="str">
        <f aca="false">K34&amp;" ("&amp;J34&amp;")"</f>
        <v>None (N)</v>
      </c>
      <c r="M34" s="7"/>
    </row>
    <row r="35" customFormat="false" ht="17.4" hidden="false" customHeight="true" outlineLevel="0" collapsed="false">
      <c r="A35" s="7"/>
      <c r="B35" s="112"/>
      <c r="C35" s="7"/>
      <c r="D35" s="7"/>
      <c r="E35" s="7"/>
      <c r="F35" s="113" t="s">
        <v>236</v>
      </c>
      <c r="G35" s="102"/>
      <c r="H35" s="102"/>
      <c r="I35" s="7"/>
      <c r="J35" s="115" t="s">
        <v>157</v>
      </c>
      <c r="K35" s="105" t="s">
        <v>220</v>
      </c>
      <c r="L35" s="105" t="str">
        <f aca="false">K35&amp;" ("&amp;J35&amp;")"</f>
        <v>Limited (L)</v>
      </c>
      <c r="M35" s="7"/>
    </row>
    <row r="36" customFormat="false" ht="17.4" hidden="false" customHeight="true" outlineLevel="0" collapsed="false">
      <c r="A36" s="7"/>
      <c r="B36" s="113" t="s">
        <v>237</v>
      </c>
      <c r="C36" s="102"/>
      <c r="D36" s="102"/>
      <c r="E36" s="7"/>
      <c r="F36" s="114"/>
      <c r="G36" s="103" t="s">
        <v>132</v>
      </c>
      <c r="H36" s="103" t="s">
        <v>132</v>
      </c>
      <c r="I36" s="7"/>
      <c r="J36" s="115" t="s">
        <v>178</v>
      </c>
      <c r="K36" s="105" t="s">
        <v>22</v>
      </c>
      <c r="L36" s="105" t="str">
        <f aca="false">K36&amp;" ("&amp;J36&amp;")"</f>
        <v>Moderate (M)</v>
      </c>
      <c r="M36" s="7"/>
    </row>
    <row r="37" customFormat="false" ht="17.4" hidden="false" customHeight="true" outlineLevel="0" collapsed="false">
      <c r="A37" s="7"/>
      <c r="B37" s="114"/>
      <c r="C37" s="103" t="s">
        <v>132</v>
      </c>
      <c r="D37" s="103" t="s">
        <v>132</v>
      </c>
      <c r="E37" s="7"/>
      <c r="F37" s="115" t="s">
        <v>138</v>
      </c>
      <c r="G37" s="105" t="s">
        <v>238</v>
      </c>
      <c r="H37" s="105" t="str">
        <f aca="false">G37&amp;" ("&amp;F37&amp;")"</f>
        <v>Strong (S)</v>
      </c>
      <c r="I37" s="7"/>
      <c r="J37" s="115" t="s">
        <v>144</v>
      </c>
      <c r="K37" s="105" t="s">
        <v>222</v>
      </c>
      <c r="L37" s="105" t="str">
        <f aca="false">K37&amp;" ("&amp;J37&amp;")"</f>
        <v>Indirect (Defense-in-Depth) (I)</v>
      </c>
      <c r="M37" s="7"/>
    </row>
    <row r="38" customFormat="false" ht="17.4" hidden="false" customHeight="true" outlineLevel="0" collapsed="false">
      <c r="A38" s="7"/>
      <c r="B38" s="115" t="s">
        <v>155</v>
      </c>
      <c r="C38" s="105" t="s">
        <v>219</v>
      </c>
      <c r="D38" s="105" t="str">
        <f aca="false">C38&amp;" ("&amp;B38&amp;")"</f>
        <v>Application (A)</v>
      </c>
      <c r="E38" s="7"/>
      <c r="F38" s="115" t="s">
        <v>178</v>
      </c>
      <c r="G38" s="105" t="s">
        <v>22</v>
      </c>
      <c r="H38" s="105" t="str">
        <f aca="false">G38&amp;" ("&amp;F38&amp;")"</f>
        <v>Moderate (M)</v>
      </c>
      <c r="I38" s="7"/>
      <c r="J38" s="115" t="s">
        <v>224</v>
      </c>
      <c r="K38" s="105" t="s">
        <v>225</v>
      </c>
      <c r="L38" s="105" t="str">
        <f aca="false">K38&amp;" ("&amp;J38&amp;")"</f>
        <v>Best-Available (B)</v>
      </c>
      <c r="M38" s="7"/>
    </row>
    <row r="39" customFormat="false" ht="17.4" hidden="false" customHeight="true" outlineLevel="0" collapsed="false">
      <c r="A39" s="7"/>
      <c r="B39" s="115" t="s">
        <v>138</v>
      </c>
      <c r="C39" s="105" t="s">
        <v>221</v>
      </c>
      <c r="D39" s="105" t="str">
        <f aca="false">C39&amp;" ("&amp;B39&amp;")"</f>
        <v>System (S)</v>
      </c>
      <c r="E39" s="7"/>
      <c r="F39" s="115" t="s">
        <v>239</v>
      </c>
      <c r="G39" s="105" t="s">
        <v>240</v>
      </c>
      <c r="H39" s="105" t="str">
        <f aca="false">G39&amp;" ("&amp;F39&amp;")"</f>
        <v>Weak (W)</v>
      </c>
      <c r="I39" s="7"/>
      <c r="J39" s="115" t="s">
        <v>205</v>
      </c>
      <c r="K39" s="105" t="s">
        <v>226</v>
      </c>
      <c r="L39" s="105" t="str">
        <f aca="false">K39&amp;" ("&amp;J39&amp;")"</f>
        <v>Complete (C)</v>
      </c>
      <c r="M39" s="7"/>
    </row>
    <row r="40" customFormat="false" ht="17.4" hidden="false" customHeight="true" outlineLevel="0" collapsed="false">
      <c r="A40" s="7"/>
      <c r="B40" s="115" t="s">
        <v>136</v>
      </c>
      <c r="C40" s="105" t="s">
        <v>152</v>
      </c>
      <c r="D40" s="105" t="str">
        <f aca="false">C40&amp;" ("&amp;B40&amp;")"</f>
        <v>Network (N)</v>
      </c>
      <c r="E40" s="7"/>
      <c r="F40" s="115" t="s">
        <v>136</v>
      </c>
      <c r="G40" s="105" t="s">
        <v>11</v>
      </c>
      <c r="H40" s="105" t="str">
        <f aca="false">G40&amp;" ("&amp;F40&amp;")"</f>
        <v>None (N)</v>
      </c>
      <c r="I40" s="7"/>
      <c r="J40" s="115" t="s">
        <v>146</v>
      </c>
      <c r="K40" s="105" t="s">
        <v>211</v>
      </c>
      <c r="L40" s="105" t="str">
        <f aca="false">K40&amp;" ("&amp;J40&amp;")"</f>
        <v>Default (D)</v>
      </c>
      <c r="M40" s="7"/>
    </row>
    <row r="41" customFormat="false" ht="17.4" hidden="false" customHeight="true" outlineLevel="0" collapsed="false">
      <c r="A41" s="7"/>
      <c r="B41" s="115" t="s">
        <v>148</v>
      </c>
      <c r="C41" s="105" t="s">
        <v>223</v>
      </c>
      <c r="D41" s="105" t="str">
        <f aca="false">C41&amp;" ("&amp;B41&amp;")"</f>
        <v>Enterprise Infra. (E)</v>
      </c>
      <c r="E41" s="7"/>
      <c r="F41" s="115" t="s">
        <v>146</v>
      </c>
      <c r="G41" s="105" t="s">
        <v>211</v>
      </c>
      <c r="H41" s="105" t="str">
        <f aca="false">G41&amp;" ("&amp;F41&amp;")"</f>
        <v>Default (D)</v>
      </c>
      <c r="I41" s="7"/>
      <c r="J41" s="115" t="s">
        <v>212</v>
      </c>
      <c r="K41" s="105" t="s">
        <v>213</v>
      </c>
      <c r="L41" s="105" t="str">
        <f aca="false">K41&amp;" ("&amp;J41&amp;")"</f>
        <v>Unknown (UK)</v>
      </c>
      <c r="M41" s="7"/>
    </row>
    <row r="42" customFormat="false" ht="17.4" hidden="false" customHeight="true" outlineLevel="0" collapsed="false">
      <c r="A42" s="7"/>
      <c r="B42" s="115" t="s">
        <v>146</v>
      </c>
      <c r="C42" s="105" t="s">
        <v>211</v>
      </c>
      <c r="D42" s="105" t="str">
        <f aca="false">C42&amp;" ("&amp;B42&amp;")"</f>
        <v>Default (D)</v>
      </c>
      <c r="E42" s="7"/>
      <c r="F42" s="115" t="s">
        <v>212</v>
      </c>
      <c r="G42" s="105" t="s">
        <v>213</v>
      </c>
      <c r="H42" s="105" t="str">
        <f aca="false">G42&amp;" ("&amp;F42&amp;")"</f>
        <v>Unknown (UK)</v>
      </c>
      <c r="I42" s="7"/>
      <c r="J42" s="115" t="s">
        <v>214</v>
      </c>
      <c r="K42" s="105" t="s">
        <v>215</v>
      </c>
      <c r="L42" s="105" t="str">
        <f aca="false">K42&amp;" ("&amp;J42&amp;")"</f>
        <v>Not Applicable (NA)</v>
      </c>
      <c r="M42" s="7"/>
    </row>
    <row r="43" customFormat="false" ht="17.4" hidden="false" customHeight="true" outlineLevel="0" collapsed="false">
      <c r="A43" s="7"/>
      <c r="B43" s="115" t="s">
        <v>212</v>
      </c>
      <c r="C43" s="105" t="s">
        <v>213</v>
      </c>
      <c r="D43" s="105" t="str">
        <f aca="false">C43&amp;" ("&amp;B43&amp;")"</f>
        <v>Unknown (UK)</v>
      </c>
      <c r="E43" s="7"/>
      <c r="F43" s="115" t="s">
        <v>214</v>
      </c>
      <c r="G43" s="105" t="s">
        <v>215</v>
      </c>
      <c r="H43" s="105" t="str">
        <f aca="false">G43&amp;" ("&amp;F43&amp;")"</f>
        <v>Not Applicable (NA)</v>
      </c>
      <c r="I43" s="7"/>
      <c r="J43" s="112"/>
      <c r="K43" s="7"/>
      <c r="L43" s="7"/>
      <c r="M43" s="7"/>
    </row>
    <row r="44" customFormat="false" ht="17.4" hidden="false" customHeight="true" outlineLevel="0" collapsed="false">
      <c r="A44" s="7"/>
      <c r="B44" s="115" t="s">
        <v>214</v>
      </c>
      <c r="C44" s="105" t="s">
        <v>215</v>
      </c>
      <c r="D44" s="105" t="str">
        <f aca="false">C44&amp;" ("&amp;B44&amp;")"</f>
        <v>Not Applicable (NA)</v>
      </c>
      <c r="E44" s="7"/>
      <c r="F44" s="112"/>
      <c r="G44" s="7"/>
      <c r="H44" s="7"/>
      <c r="I44" s="7"/>
      <c r="J44" s="113" t="s">
        <v>241</v>
      </c>
      <c r="K44" s="102"/>
      <c r="L44" s="102"/>
      <c r="M44" s="7"/>
    </row>
    <row r="45" customFormat="false" ht="17.4" hidden="false" customHeight="true" outlineLevel="0" collapsed="false">
      <c r="A45" s="7"/>
      <c r="B45" s="112"/>
      <c r="C45" s="7"/>
      <c r="D45" s="7"/>
      <c r="E45" s="7"/>
      <c r="F45" s="113" t="s">
        <v>242</v>
      </c>
      <c r="G45" s="102"/>
      <c r="H45" s="102"/>
      <c r="I45" s="7"/>
      <c r="J45" s="114"/>
      <c r="K45" s="103" t="s">
        <v>132</v>
      </c>
      <c r="L45" s="103" t="s">
        <v>132</v>
      </c>
      <c r="M45" s="7"/>
    </row>
    <row r="46" customFormat="false" ht="17.4" hidden="false" customHeight="true" outlineLevel="0" collapsed="false">
      <c r="A46" s="7"/>
      <c r="B46" s="113" t="s">
        <v>243</v>
      </c>
      <c r="C46" s="102"/>
      <c r="D46" s="102"/>
      <c r="E46" s="7"/>
      <c r="F46" s="114"/>
      <c r="G46" s="103" t="s">
        <v>132</v>
      </c>
      <c r="H46" s="103" t="s">
        <v>132</v>
      </c>
      <c r="I46" s="7"/>
      <c r="J46" s="115" t="s">
        <v>239</v>
      </c>
      <c r="K46" s="105" t="s">
        <v>244</v>
      </c>
      <c r="L46" s="105" t="str">
        <f aca="false">K46&amp;" ("&amp;J46&amp;")"</f>
        <v>Widespread (W)</v>
      </c>
      <c r="M46" s="7"/>
    </row>
    <row r="47" customFormat="false" ht="17.4" hidden="false" customHeight="true" outlineLevel="0" collapsed="false">
      <c r="A47" s="7"/>
      <c r="B47" s="114"/>
      <c r="C47" s="103" t="s">
        <v>132</v>
      </c>
      <c r="D47" s="103" t="s">
        <v>132</v>
      </c>
      <c r="E47" s="7"/>
      <c r="F47" s="115" t="s">
        <v>155</v>
      </c>
      <c r="G47" s="105" t="s">
        <v>245</v>
      </c>
      <c r="H47" s="105" t="str">
        <f aca="false">G47&amp;" ("&amp;F47&amp;")"</f>
        <v>Automated (A)</v>
      </c>
      <c r="I47" s="7"/>
      <c r="J47" s="115" t="s">
        <v>163</v>
      </c>
      <c r="K47" s="105" t="s">
        <v>8</v>
      </c>
      <c r="L47" s="105" t="str">
        <f aca="false">K47&amp;" ("&amp;J47&amp;")"</f>
        <v>High (H)</v>
      </c>
      <c r="M47" s="7"/>
    </row>
    <row r="48" customFormat="false" ht="17.4" hidden="false" customHeight="true" outlineLevel="0" collapsed="false">
      <c r="A48" s="7"/>
      <c r="B48" s="115" t="s">
        <v>140</v>
      </c>
      <c r="C48" s="105" t="s">
        <v>246</v>
      </c>
      <c r="D48" s="105" t="str">
        <f aca="false">C48&amp;" ("&amp;B48&amp;")"</f>
        <v>Proven True (T)</v>
      </c>
      <c r="E48" s="7"/>
      <c r="F48" s="115" t="s">
        <v>140</v>
      </c>
      <c r="G48" s="105" t="s">
        <v>247</v>
      </c>
      <c r="H48" s="105" t="str">
        <f aca="false">G48&amp;" ("&amp;F48&amp;")"</f>
        <v>Typical / Limited (T)</v>
      </c>
      <c r="I48" s="7"/>
      <c r="J48" s="115" t="s">
        <v>205</v>
      </c>
      <c r="K48" s="105" t="s">
        <v>248</v>
      </c>
      <c r="L48" s="105" t="str">
        <f aca="false">K48&amp;" ("&amp;J48&amp;")"</f>
        <v>Common (C)</v>
      </c>
      <c r="M48" s="7"/>
    </row>
    <row r="49" customFormat="false" ht="17.4" hidden="false" customHeight="true" outlineLevel="0" collapsed="false">
      <c r="A49" s="7"/>
      <c r="B49" s="115" t="s">
        <v>249</v>
      </c>
      <c r="C49" s="105" t="s">
        <v>250</v>
      </c>
      <c r="D49" s="105" t="str">
        <f aca="false">C49&amp;" ("&amp;B49&amp;")"</f>
        <v>Proven Locally True (LT)</v>
      </c>
      <c r="E49" s="7"/>
      <c r="F49" s="115" t="s">
        <v>178</v>
      </c>
      <c r="G49" s="105" t="s">
        <v>22</v>
      </c>
      <c r="H49" s="105" t="str">
        <f aca="false">G49&amp;" ("&amp;F49&amp;")"</f>
        <v>Moderate (M)</v>
      </c>
      <c r="I49" s="7"/>
      <c r="J49" s="115" t="s">
        <v>157</v>
      </c>
      <c r="K49" s="105" t="s">
        <v>220</v>
      </c>
      <c r="L49" s="105" t="str">
        <f aca="false">K49&amp;" ("&amp;J49&amp;")"</f>
        <v>Limited (L)</v>
      </c>
      <c r="M49" s="7"/>
    </row>
    <row r="50" customFormat="false" ht="16.4" hidden="false" customHeight="true" outlineLevel="0" collapsed="false">
      <c r="A50" s="7"/>
      <c r="B50" s="115" t="s">
        <v>251</v>
      </c>
      <c r="C50" s="105" t="s">
        <v>252</v>
      </c>
      <c r="D50" s="105" t="str">
        <f aca="false">C50&amp;" ("&amp;B50&amp;")"</f>
        <v>Proven False (F)</v>
      </c>
      <c r="E50" s="7"/>
      <c r="F50" s="115" t="s">
        <v>253</v>
      </c>
      <c r="G50" s="105" t="s">
        <v>254</v>
      </c>
      <c r="H50" s="105" t="str">
        <f aca="false">G50&amp;" ("&amp;F50&amp;")"</f>
        <v>Opportunistic (O)</v>
      </c>
      <c r="I50" s="7"/>
      <c r="J50" s="115" t="s">
        <v>146</v>
      </c>
      <c r="K50" s="105" t="s">
        <v>211</v>
      </c>
      <c r="L50" s="105" t="str">
        <f aca="false">K50&amp;" ("&amp;J50&amp;")"</f>
        <v>Default (D)</v>
      </c>
      <c r="M50" s="7"/>
    </row>
    <row r="51" customFormat="false" ht="16.4" hidden="false" customHeight="true" outlineLevel="0" collapsed="false">
      <c r="A51" s="7"/>
      <c r="B51" s="115" t="s">
        <v>146</v>
      </c>
      <c r="C51" s="105" t="s">
        <v>211</v>
      </c>
      <c r="D51" s="105" t="str">
        <f aca="false">C51&amp;" ("&amp;B51&amp;")"</f>
        <v>Default (D)</v>
      </c>
      <c r="E51" s="7"/>
      <c r="F51" s="115" t="s">
        <v>163</v>
      </c>
      <c r="G51" s="105" t="s">
        <v>8</v>
      </c>
      <c r="H51" s="105" t="str">
        <f aca="false">G51&amp;" ("&amp;F51&amp;")"</f>
        <v>High (H)</v>
      </c>
      <c r="I51" s="7"/>
      <c r="J51" s="115" t="s">
        <v>212</v>
      </c>
      <c r="K51" s="105" t="s">
        <v>213</v>
      </c>
      <c r="L51" s="105" t="str">
        <f aca="false">K51&amp;" ("&amp;J51&amp;")"</f>
        <v>Unknown (UK)</v>
      </c>
      <c r="M51" s="7"/>
    </row>
    <row r="52" customFormat="false" ht="16.4" hidden="false" customHeight="true" outlineLevel="0" collapsed="false">
      <c r="A52" s="7"/>
      <c r="B52" s="115" t="s">
        <v>212</v>
      </c>
      <c r="C52" s="105" t="s">
        <v>213</v>
      </c>
      <c r="D52" s="105" t="str">
        <f aca="false">C52&amp;" ("&amp;B52&amp;")"</f>
        <v>Unknown (UK)</v>
      </c>
      <c r="E52" s="7"/>
      <c r="F52" s="115" t="s">
        <v>255</v>
      </c>
      <c r="G52" s="105" t="s">
        <v>256</v>
      </c>
      <c r="H52" s="105" t="str">
        <f aca="false">G52&amp;" ("&amp;F52&amp;")"</f>
        <v>No Interaction (NI)</v>
      </c>
      <c r="I52" s="7"/>
      <c r="J52" s="115" t="s">
        <v>214</v>
      </c>
      <c r="K52" s="105" t="s">
        <v>215</v>
      </c>
      <c r="L52" s="105" t="str">
        <f aca="false">K52&amp;" ("&amp;J52&amp;")"</f>
        <v>Not Applicable (NA)</v>
      </c>
      <c r="M52" s="7"/>
    </row>
    <row r="53" customFormat="false" ht="16.4" hidden="false" customHeight="true" outlineLevel="0" collapsed="false">
      <c r="A53" s="7"/>
      <c r="B53" s="115" t="s">
        <v>214</v>
      </c>
      <c r="C53" s="105" t="s">
        <v>215</v>
      </c>
      <c r="D53" s="105" t="str">
        <f aca="false">C53&amp;" ("&amp;B53&amp;")"</f>
        <v>Not Applicable (NA)</v>
      </c>
      <c r="E53" s="7"/>
      <c r="F53" s="115" t="s">
        <v>146</v>
      </c>
      <c r="G53" s="105" t="s">
        <v>211</v>
      </c>
      <c r="H53" s="105" t="str">
        <f aca="false">G53&amp;" ("&amp;F53&amp;")"</f>
        <v>Default (D)</v>
      </c>
      <c r="I53" s="7"/>
      <c r="J53" s="112"/>
      <c r="K53" s="7"/>
      <c r="L53" s="7"/>
      <c r="M53" s="7"/>
    </row>
    <row r="54" customFormat="false" ht="16.4" hidden="false" customHeight="true" outlineLevel="0" collapsed="false">
      <c r="A54" s="7"/>
      <c r="B54" s="112"/>
      <c r="C54" s="7"/>
      <c r="D54" s="7"/>
      <c r="E54" s="7"/>
      <c r="F54" s="115" t="s">
        <v>212</v>
      </c>
      <c r="G54" s="105" t="s">
        <v>213</v>
      </c>
      <c r="H54" s="105" t="str">
        <f aca="false">G54&amp;" ("&amp;F54&amp;")"</f>
        <v>Unknown (UK)</v>
      </c>
      <c r="I54" s="7"/>
    </row>
    <row r="55" customFormat="false" ht="12.8" hidden="false" customHeight="false" outlineLevel="0" collapsed="false">
      <c r="E55" s="7"/>
      <c r="F55" s="115" t="s">
        <v>214</v>
      </c>
      <c r="G55" s="105" t="s">
        <v>215</v>
      </c>
      <c r="H55" s="105" t="str">
        <f aca="false">G55&amp;" ("&amp;F55&amp;")"</f>
        <v>Not Applicable (NA)</v>
      </c>
      <c r="I55" s="7"/>
    </row>
    <row r="56" customFormat="false" ht="12.8" hidden="false" customHeight="false" outlineLevel="0" collapsed="false">
      <c r="E56" s="7"/>
      <c r="F56" s="112"/>
      <c r="G56" s="7"/>
      <c r="H56" s="7"/>
      <c r="I56" s="7"/>
    </row>
    <row r="57" customFormat="false" ht="13.8" hidden="false" customHeight="false" outlineLevel="0" collapsed="false">
      <c r="E57" s="7"/>
      <c r="F57" s="113" t="s">
        <v>257</v>
      </c>
      <c r="G57" s="102"/>
      <c r="H57" s="102"/>
      <c r="I57" s="7"/>
    </row>
    <row r="58" customFormat="false" ht="13.8" hidden="false" customHeight="false" outlineLevel="0" collapsed="false">
      <c r="E58" s="7"/>
      <c r="F58" s="114"/>
      <c r="G58" s="103" t="s">
        <v>132</v>
      </c>
      <c r="H58" s="103" t="s">
        <v>132</v>
      </c>
      <c r="I58" s="7"/>
    </row>
    <row r="59" customFormat="false" ht="16.4" hidden="false" customHeight="true" outlineLevel="0" collapsed="false">
      <c r="E59" s="7"/>
      <c r="F59" s="115" t="s">
        <v>155</v>
      </c>
      <c r="G59" s="105" t="s">
        <v>258</v>
      </c>
      <c r="H59" s="105" t="str">
        <f aca="false">G59&amp;" ("&amp;F59&amp;")"</f>
        <v>All (A)</v>
      </c>
      <c r="I59" s="7"/>
    </row>
    <row r="60" customFormat="false" ht="16.4" hidden="false" customHeight="true" outlineLevel="0" collapsed="false">
      <c r="E60" s="7"/>
      <c r="F60" s="115" t="s">
        <v>178</v>
      </c>
      <c r="G60" s="105" t="s">
        <v>22</v>
      </c>
      <c r="H60" s="105" t="str">
        <f aca="false">G60&amp;" ("&amp;F60&amp;")"</f>
        <v>Moderate (M)</v>
      </c>
      <c r="I60" s="7"/>
    </row>
    <row r="61" customFormat="false" ht="12.8" hidden="false" customHeight="false" outlineLevel="0" collapsed="false">
      <c r="E61" s="7"/>
      <c r="F61" s="115" t="s">
        <v>142</v>
      </c>
      <c r="G61" s="105" t="s">
        <v>259</v>
      </c>
      <c r="H61" s="105" t="str">
        <f aca="false">G61&amp;" ("&amp;F61&amp;")"</f>
        <v>Rare (R)</v>
      </c>
      <c r="I61" s="7"/>
    </row>
    <row r="62" customFormat="false" ht="12.8" hidden="false" customHeight="false" outlineLevel="0" collapsed="false">
      <c r="E62" s="7"/>
      <c r="F62" s="115" t="s">
        <v>159</v>
      </c>
      <c r="G62" s="105" t="s">
        <v>260</v>
      </c>
      <c r="H62" s="105" t="str">
        <f aca="false">G62&amp;" ("&amp;F62&amp;")"</f>
        <v>Potentially Reachable (P)</v>
      </c>
      <c r="I62" s="7"/>
    </row>
    <row r="63" customFormat="false" ht="12.8" hidden="false" customHeight="false" outlineLevel="0" collapsed="false">
      <c r="E63" s="7"/>
      <c r="F63" s="115" t="s">
        <v>146</v>
      </c>
      <c r="G63" s="105" t="s">
        <v>211</v>
      </c>
      <c r="H63" s="105" t="str">
        <f aca="false">G63&amp;" ("&amp;F63&amp;")"</f>
        <v>Default (D)</v>
      </c>
      <c r="I63" s="7"/>
    </row>
    <row r="64" customFormat="false" ht="12.8" hidden="false" customHeight="false" outlineLevel="0" collapsed="false">
      <c r="E64" s="7"/>
      <c r="F64" s="115" t="s">
        <v>212</v>
      </c>
      <c r="G64" s="105" t="s">
        <v>213</v>
      </c>
      <c r="H64" s="105" t="str">
        <f aca="false">G64&amp;" ("&amp;F64&amp;")"</f>
        <v>Unknown (UK)</v>
      </c>
      <c r="I64" s="7"/>
    </row>
    <row r="65" customFormat="false" ht="12.8" hidden="false" customHeight="false" outlineLevel="0" collapsed="false">
      <c r="E65" s="7"/>
      <c r="F65" s="115" t="s">
        <v>214</v>
      </c>
      <c r="G65" s="105" t="s">
        <v>215</v>
      </c>
      <c r="H65" s="105" t="str">
        <f aca="false">G65&amp;" ("&amp;F65&amp;")"</f>
        <v>Not Applicable (NA)</v>
      </c>
      <c r="I65" s="7"/>
    </row>
    <row r="66" customFormat="false" ht="12.8" hidden="false" customHeight="false" outlineLevel="0" collapsed="false">
      <c r="E66" s="7"/>
      <c r="F66" s="112"/>
      <c r="G66" s="7"/>
      <c r="H66" s="7"/>
      <c r="I66" s="7"/>
    </row>
    <row r="68" customFormat="false" ht="16.4" hidden="false" customHeight="true" outlineLevel="0" collapsed="false"/>
    <row r="77" customFormat="false" ht="16.4" hidden="false" customHeight="true" outlineLevel="0" collapsed="false"/>
    <row r="87" customFormat="false" ht="16.4" hidden="false" customHeight="true" outlineLevel="0" collapsed="false"/>
    <row r="97" customFormat="false" ht="16.4" hidden="false" customHeight="true" outlineLevel="0" collapsed="false"/>
    <row r="107" customFormat="false" ht="16.4" hidden="false" customHeight="tru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26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7"/>
      <c r="B1" s="117" t="str">
        <f aca="false">IF(EnableCharacterization="Yes (Y)","Y","N")</f>
        <v>N</v>
      </c>
      <c r="C1" s="7"/>
      <c r="D1" s="7"/>
      <c r="E1" s="7"/>
      <c r="F1" s="7"/>
      <c r="G1" s="7"/>
      <c r="H1" s="7"/>
    </row>
    <row r="2" customFormat="false" ht="12.8" hidden="false" customHeight="false" outlineLevel="0" collapsed="false">
      <c r="A2" s="7"/>
      <c r="B2" s="112"/>
      <c r="C2" s="7"/>
      <c r="D2" s="7"/>
      <c r="E2" s="7"/>
      <c r="F2" s="7"/>
      <c r="G2" s="7"/>
      <c r="H2" s="7"/>
    </row>
    <row r="3" customFormat="false" ht="16.4" hidden="false" customHeight="true" outlineLevel="0" collapsed="false">
      <c r="A3" s="7"/>
      <c r="B3" s="102" t="s">
        <v>60</v>
      </c>
      <c r="C3" s="102"/>
      <c r="D3" s="102"/>
      <c r="E3" s="7"/>
      <c r="F3" s="7"/>
      <c r="G3" s="7"/>
      <c r="H3" s="7"/>
    </row>
    <row r="4" customFormat="false" ht="13.8" hidden="false" customHeight="false" outlineLevel="0" collapsed="false">
      <c r="A4" s="7"/>
      <c r="B4" s="103" t="s">
        <v>135</v>
      </c>
      <c r="C4" s="103" t="s">
        <v>137</v>
      </c>
      <c r="D4" s="103" t="s">
        <v>261</v>
      </c>
      <c r="E4" s="7"/>
      <c r="F4" s="7"/>
      <c r="G4" s="7"/>
      <c r="H4" s="7"/>
    </row>
    <row r="5" customFormat="false" ht="16.4" hidden="false" customHeight="false" outlineLevel="0" collapsed="false">
      <c r="A5" s="7"/>
      <c r="B5" s="118" t="n">
        <f aca="false">COUNTIF(Character_MAV,"Yes (Y)")</f>
        <v>2</v>
      </c>
      <c r="C5" s="118" t="n">
        <f aca="false">COUNTIF(Character_MAV,"No (N)")</f>
        <v>1</v>
      </c>
      <c r="D5" s="119" t="n">
        <f aca="false">B5/SUM(B5:C5)</f>
        <v>0.666666666666667</v>
      </c>
      <c r="E5" s="7"/>
      <c r="F5" s="7"/>
      <c r="G5" s="7"/>
      <c r="H5" s="7"/>
    </row>
    <row r="6" customFormat="false" ht="13.8" hidden="false" customHeight="false" outlineLevel="0" collapsed="false">
      <c r="A6" s="7"/>
      <c r="B6" s="114" t="s">
        <v>262</v>
      </c>
      <c r="C6" s="103" t="s">
        <v>263</v>
      </c>
      <c r="D6" s="120" t="n">
        <v>1</v>
      </c>
      <c r="E6" s="120" t="n">
        <v>0.6</v>
      </c>
      <c r="F6" s="120" t="n">
        <v>0.3</v>
      </c>
      <c r="G6" s="120" t="n">
        <v>0</v>
      </c>
      <c r="H6" s="7"/>
    </row>
    <row r="7" customFormat="false" ht="12.8" hidden="false" customHeight="false" outlineLevel="0" collapsed="false">
      <c r="A7" s="7"/>
      <c r="B7" s="121" t="str">
        <f aca="false">_LOOKUPS_CVSS!D4</f>
        <v>Network (N)</v>
      </c>
      <c r="C7" s="121" t="str">
        <f aca="false">IF($B$1="N",$B7,IF($D$5&gt;=$D$6,$D7,IF($D$5&gt;=$E$6,$E7,IF($D$5&gt;=$F$6,$F7,$G7))))</f>
        <v>Network (N)</v>
      </c>
      <c r="D7" s="24" t="s">
        <v>264</v>
      </c>
      <c r="E7" s="24" t="s">
        <v>265</v>
      </c>
      <c r="F7" s="24" t="s">
        <v>266</v>
      </c>
      <c r="G7" s="122" t="s">
        <v>267</v>
      </c>
      <c r="H7" s="7"/>
    </row>
    <row r="8" customFormat="false" ht="12.8" hidden="false" customHeight="false" outlineLevel="0" collapsed="false">
      <c r="A8" s="7"/>
      <c r="B8" s="121" t="str">
        <f aca="false">_LOOKUPS_CVSS!D5</f>
        <v>Adjacent (A)</v>
      </c>
      <c r="C8" s="121" t="str">
        <f aca="false">IF($B$1="N",$B8,IF($D$5&gt;=$D$6,$D8,IF($D$5&gt;=$E$6,$E8,IF($D$5&gt;=$F$6,$F8,$G8))))</f>
        <v>Adjacent (A)</v>
      </c>
      <c r="D8" s="24" t="s">
        <v>264</v>
      </c>
      <c r="E8" s="24" t="s">
        <v>265</v>
      </c>
      <c r="F8" s="24" t="s">
        <v>266</v>
      </c>
      <c r="G8" s="24" t="s">
        <v>266</v>
      </c>
      <c r="H8" s="7"/>
    </row>
    <row r="9" customFormat="false" ht="12.8" hidden="false" customHeight="false" outlineLevel="0" collapsed="false">
      <c r="A9" s="7"/>
      <c r="B9" s="121" t="str">
        <f aca="false">_LOOKUPS_CVSS!D6</f>
        <v>Local (L)</v>
      </c>
      <c r="C9" s="121" t="str">
        <f aca="false">IF($B$1="N",$B9,IF($D$5&gt;=$D$6,$D9,IF($D$5&gt;=$E$6,$E9,IF($D$5&gt;=$F$6,$F9,$G9))))</f>
        <v>Local (L)</v>
      </c>
      <c r="D9" s="24" t="s">
        <v>264</v>
      </c>
      <c r="E9" s="24" t="s">
        <v>264</v>
      </c>
      <c r="F9" s="24" t="s">
        <v>265</v>
      </c>
      <c r="G9" s="24" t="s">
        <v>265</v>
      </c>
      <c r="H9" s="7"/>
    </row>
    <row r="10" customFormat="false" ht="12.8" hidden="false" customHeight="false" outlineLevel="0" collapsed="false">
      <c r="A10" s="7"/>
      <c r="B10" s="121" t="str">
        <f aca="false">_LOOKUPS_CVSS!D7</f>
        <v>Physical (P)</v>
      </c>
      <c r="C10" s="121" t="str">
        <f aca="false">IF($B$1="N",$B10,IF($D$5&gt;=$D$6,$D10,IF($D$5&gt;=$E$6,$E10,IF($D$5&gt;=$F$6,$F10,$G10))))</f>
        <v>Physical (P)</v>
      </c>
      <c r="D10" s="24" t="s">
        <v>264</v>
      </c>
      <c r="E10" s="24" t="s">
        <v>264</v>
      </c>
      <c r="F10" s="24" t="s">
        <v>264</v>
      </c>
      <c r="G10" s="24" t="s">
        <v>264</v>
      </c>
      <c r="H10" s="7"/>
    </row>
    <row r="11" customFormat="false" ht="12.8" hidden="false" customHeight="false" outlineLevel="0" collapsed="false">
      <c r="A11" s="7"/>
      <c r="B11" s="7"/>
      <c r="C11" s="7"/>
      <c r="D11" s="7"/>
      <c r="E11" s="7"/>
      <c r="F11" s="7"/>
      <c r="G11" s="7"/>
      <c r="H11" s="7"/>
    </row>
    <row r="12" customFormat="false" ht="16.4" hidden="false" customHeight="true" outlineLevel="0" collapsed="false">
      <c r="A12" s="7"/>
      <c r="B12" s="123" t="s">
        <v>61</v>
      </c>
      <c r="C12" s="123"/>
      <c r="D12" s="7"/>
      <c r="E12" s="7"/>
      <c r="F12" s="7"/>
      <c r="G12" s="7"/>
      <c r="H12" s="7"/>
    </row>
    <row r="13" customFormat="false" ht="13.8" hidden="false" customHeight="false" outlineLevel="0" collapsed="false">
      <c r="A13" s="7"/>
      <c r="B13" s="103" t="s">
        <v>135</v>
      </c>
      <c r="C13" s="103" t="s">
        <v>137</v>
      </c>
      <c r="D13" s="103" t="s">
        <v>261</v>
      </c>
      <c r="E13" s="7"/>
      <c r="F13" s="7"/>
      <c r="G13" s="7"/>
      <c r="H13" s="7"/>
    </row>
    <row r="14" customFormat="false" ht="16.4" hidden="false" customHeight="false" outlineLevel="0" collapsed="false">
      <c r="A14" s="7"/>
      <c r="B14" s="118" t="n">
        <f aca="false">COUNTIF(Character_MAC,"Yes (Y)")</f>
        <v>0</v>
      </c>
      <c r="C14" s="118" t="n">
        <f aca="false">COUNTIF(Character_MAC,"No (N)")</f>
        <v>2</v>
      </c>
      <c r="D14" s="119" t="n">
        <f aca="false">B14/SUM(B14:C14)</f>
        <v>0</v>
      </c>
      <c r="E14" s="7"/>
      <c r="F14" s="7"/>
      <c r="G14" s="7"/>
      <c r="H14" s="7"/>
    </row>
    <row r="15" customFormat="false" ht="13.8" hidden="false" customHeight="false" outlineLevel="0" collapsed="false">
      <c r="A15" s="7"/>
      <c r="B15" s="114" t="s">
        <v>131</v>
      </c>
      <c r="C15" s="103" t="s">
        <v>133</v>
      </c>
      <c r="D15" s="120" t="n">
        <v>1</v>
      </c>
      <c r="E15" s="120" t="n">
        <v>0.6</v>
      </c>
      <c r="F15" s="120" t="n">
        <v>0.3</v>
      </c>
      <c r="G15" s="120" t="n">
        <v>0</v>
      </c>
      <c r="H15" s="7"/>
    </row>
    <row r="16" customFormat="false" ht="12.8" hidden="false" customHeight="false" outlineLevel="0" collapsed="false">
      <c r="A16" s="7"/>
      <c r="B16" s="121" t="str">
        <f aca="false">_LOOKUPS_CVSS!D11</f>
        <v>Low (L)</v>
      </c>
      <c r="C16" s="121" t="str">
        <f aca="false">IF($B$1="N",$B16,IF($D$14&gt;=$D$15,$D16,IF($D$14&gt;=$E$15,$E16,IF($D$14&gt;=$F$15,$F16,$G16))))</f>
        <v>Low (L)</v>
      </c>
      <c r="D16" s="24" t="s">
        <v>128</v>
      </c>
      <c r="E16" s="24" t="s">
        <v>128</v>
      </c>
      <c r="F16" s="24" t="s">
        <v>268</v>
      </c>
      <c r="G16" s="24" t="s">
        <v>268</v>
      </c>
      <c r="H16" s="7"/>
    </row>
    <row r="17" customFormat="false" ht="12.8" hidden="false" customHeight="false" outlineLevel="0" collapsed="false">
      <c r="A17" s="7"/>
      <c r="B17" s="121" t="str">
        <f aca="false">_LOOKUPS_CVSS!D12</f>
        <v>High (H)</v>
      </c>
      <c r="C17" s="121" t="str">
        <f aca="false">IF($B$1="N",$B17,IF($D$14&gt;=$D$15,$D17,IF($D$14&gt;=$E$15,$E17,IF($D$14&gt;=$F$15,$F17,$G17))))</f>
        <v>High (H)</v>
      </c>
      <c r="D17" s="24" t="s">
        <v>128</v>
      </c>
      <c r="E17" s="24" t="s">
        <v>128</v>
      </c>
      <c r="F17" s="24" t="s">
        <v>128</v>
      </c>
      <c r="G17" s="24" t="s">
        <v>128</v>
      </c>
      <c r="H17" s="7"/>
    </row>
    <row r="18" customFormat="false" ht="12.8" hidden="false" customHeight="false" outlineLevel="0" collapsed="false">
      <c r="A18" s="7"/>
      <c r="B18" s="112"/>
      <c r="C18" s="7"/>
      <c r="D18" s="7"/>
      <c r="E18" s="7"/>
      <c r="F18" s="7"/>
      <c r="G18" s="7"/>
      <c r="H18" s="7"/>
    </row>
    <row r="19" customFormat="false" ht="16.4" hidden="false" customHeight="true" outlineLevel="0" collapsed="false">
      <c r="A19" s="7"/>
      <c r="B19" s="123" t="s">
        <v>62</v>
      </c>
      <c r="C19" s="123"/>
    </row>
    <row r="20" customFormat="false" ht="13.8" hidden="false" customHeight="false" outlineLevel="0" collapsed="false">
      <c r="A20" s="7"/>
      <c r="B20" s="114" t="s">
        <v>131</v>
      </c>
      <c r="C20" s="103" t="s">
        <v>133</v>
      </c>
    </row>
    <row r="21" customFormat="false" ht="12.8" hidden="false" customHeight="false" outlineLevel="0" collapsed="false">
      <c r="A21" s="7"/>
      <c r="B21" s="105" t="s">
        <v>136</v>
      </c>
      <c r="C21" s="105" t="e">
        <f aca="false">#REF!&amp;" ("&amp;B21&amp;")"</f>
        <v>#REF!</v>
      </c>
    </row>
    <row r="22" customFormat="false" ht="12.8" hidden="false" customHeight="false" outlineLevel="0" collapsed="false">
      <c r="A22" s="7"/>
      <c r="B22" s="107" t="s">
        <v>159</v>
      </c>
      <c r="C22" s="105" t="e">
        <f aca="false">#REF!&amp;" ("&amp;B22&amp;")"</f>
        <v>#REF!</v>
      </c>
    </row>
    <row r="23" customFormat="false" ht="12.8" hidden="false" customHeight="false" outlineLevel="0" collapsed="false">
      <c r="A23" s="7"/>
      <c r="B23" s="112"/>
      <c r="C23" s="7"/>
    </row>
    <row r="24" customFormat="false" ht="16.4" hidden="false" customHeight="true" outlineLevel="0" collapsed="false">
      <c r="A24" s="7"/>
      <c r="B24" s="123" t="s">
        <v>168</v>
      </c>
      <c r="C24" s="123"/>
    </row>
    <row r="25" customFormat="false" ht="13.8" hidden="false" customHeight="false" outlineLevel="0" collapsed="false">
      <c r="A25" s="7"/>
      <c r="B25" s="114" t="s">
        <v>131</v>
      </c>
      <c r="C25" s="103" t="s">
        <v>133</v>
      </c>
    </row>
    <row r="26" customFormat="false" ht="12.8" hidden="false" customHeight="false" outlineLevel="0" collapsed="false">
      <c r="A26" s="7"/>
      <c r="B26" s="105" t="s">
        <v>136</v>
      </c>
      <c r="C26" s="105" t="e">
        <f aca="false">#REF!&amp;" ("&amp;B26&amp;")"</f>
        <v>#REF!</v>
      </c>
    </row>
    <row r="27" customFormat="false" ht="12.8" hidden="false" customHeight="false" outlineLevel="0" collapsed="false">
      <c r="A27" s="7"/>
      <c r="B27" s="107" t="s">
        <v>157</v>
      </c>
      <c r="C27" s="105" t="e">
        <f aca="false">#REF!&amp;" ("&amp;B27&amp;")"</f>
        <v>#REF!</v>
      </c>
    </row>
    <row r="28" customFormat="false" ht="12.8" hidden="false" customHeight="false" outlineLevel="0" collapsed="false">
      <c r="A28" s="7"/>
      <c r="B28" s="105" t="s">
        <v>163</v>
      </c>
      <c r="C28" s="105" t="e">
        <f aca="false">#REF!&amp;" ("&amp;B28&amp;")"</f>
        <v>#REF!</v>
      </c>
    </row>
    <row r="29" customFormat="false" ht="12.8" hidden="false" customHeight="false" outlineLevel="0" collapsed="false">
      <c r="A29" s="7"/>
      <c r="B29" s="112"/>
      <c r="C29" s="7"/>
    </row>
    <row r="30" customFormat="false" ht="16.4" hidden="false" customHeight="true" outlineLevel="0" collapsed="false">
      <c r="A30" s="7"/>
      <c r="B30" s="123" t="s">
        <v>172</v>
      </c>
      <c r="C30" s="123"/>
    </row>
    <row r="31" customFormat="false" ht="13.8" hidden="false" customHeight="false" outlineLevel="0" collapsed="false">
      <c r="A31" s="7"/>
      <c r="B31" s="114" t="s">
        <v>131</v>
      </c>
      <c r="C31" s="103" t="s">
        <v>133</v>
      </c>
    </row>
    <row r="32" customFormat="false" ht="12.8" hidden="false" customHeight="false" outlineLevel="0" collapsed="false">
      <c r="A32" s="7"/>
      <c r="B32" s="105" t="s">
        <v>136</v>
      </c>
      <c r="C32" s="105" t="e">
        <f aca="false">#REF!&amp;" ("&amp;B32&amp;")"</f>
        <v>#REF!</v>
      </c>
    </row>
    <row r="33" customFormat="false" ht="12.8" hidden="false" customHeight="false" outlineLevel="0" collapsed="false">
      <c r="A33" s="7"/>
      <c r="B33" s="107" t="s">
        <v>159</v>
      </c>
      <c r="C33" s="105" t="e">
        <f aca="false">#REF!&amp;" ("&amp;B33&amp;")"</f>
        <v>#REF!</v>
      </c>
    </row>
    <row r="34" customFormat="false" ht="12.8" hidden="false" customHeight="false" outlineLevel="0" collapsed="false">
      <c r="A34" s="7"/>
      <c r="B34" s="105" t="s">
        <v>155</v>
      </c>
      <c r="C34" s="105" t="e">
        <f aca="false">#REF!&amp;" ("&amp;B34&amp;")"</f>
        <v>#REF!</v>
      </c>
    </row>
    <row r="35" customFormat="false" ht="12.8" hidden="false" customHeight="false" outlineLevel="0" collapsed="false">
      <c r="A35" s="7"/>
      <c r="B35" s="112"/>
      <c r="C35" s="7"/>
    </row>
    <row r="36" customFormat="false" ht="16.4" hidden="false" customHeight="true" outlineLevel="0" collapsed="false">
      <c r="A36" s="7"/>
      <c r="B36" s="123" t="s">
        <v>177</v>
      </c>
      <c r="C36" s="123"/>
    </row>
    <row r="37" customFormat="false" ht="13.8" hidden="false" customHeight="false" outlineLevel="0" collapsed="false">
      <c r="A37" s="7"/>
      <c r="B37" s="114" t="s">
        <v>131</v>
      </c>
      <c r="C37" s="103" t="s">
        <v>133</v>
      </c>
    </row>
    <row r="38" customFormat="false" ht="12.8" hidden="false" customHeight="false" outlineLevel="0" collapsed="false">
      <c r="A38" s="7"/>
      <c r="B38" s="105" t="s">
        <v>163</v>
      </c>
      <c r="C38" s="105" t="e">
        <f aca="false">#REF!&amp;" ("&amp;B38&amp;")"</f>
        <v>#REF!</v>
      </c>
    </row>
    <row r="39" customFormat="false" ht="12.8" hidden="false" customHeight="false" outlineLevel="0" collapsed="false">
      <c r="A39" s="7"/>
      <c r="B39" s="107" t="s">
        <v>157</v>
      </c>
      <c r="C39" s="105" t="e">
        <f aca="false">#REF!&amp;" ("&amp;B39&amp;")"</f>
        <v>#REF!</v>
      </c>
    </row>
    <row r="40" customFormat="false" ht="12.8" hidden="false" customHeight="false" outlineLevel="0" collapsed="false">
      <c r="A40" s="7"/>
      <c r="B40" s="105" t="s">
        <v>136</v>
      </c>
      <c r="C40" s="105" t="e">
        <f aca="false">#REF!&amp;" ("&amp;B40&amp;")"</f>
        <v>#REF!</v>
      </c>
    </row>
    <row r="41" customFormat="false" ht="12.8" hidden="false" customHeight="false" outlineLevel="0" collapsed="false">
      <c r="A41" s="7"/>
      <c r="B41" s="112"/>
      <c r="C41" s="7"/>
    </row>
    <row r="42" customFormat="false" ht="16.4" hidden="false" customHeight="true" outlineLevel="0" collapsed="false">
      <c r="A42" s="7"/>
      <c r="B42" s="123" t="s">
        <v>180</v>
      </c>
      <c r="C42" s="123"/>
    </row>
    <row r="43" customFormat="false" ht="13.8" hidden="false" customHeight="false" outlineLevel="0" collapsed="false">
      <c r="A43" s="7"/>
      <c r="B43" s="114" t="s">
        <v>131</v>
      </c>
      <c r="C43" s="103" t="s">
        <v>133</v>
      </c>
    </row>
    <row r="44" customFormat="false" ht="12.8" hidden="false" customHeight="false" outlineLevel="0" collapsed="false">
      <c r="A44" s="7"/>
      <c r="B44" s="105" t="s">
        <v>163</v>
      </c>
      <c r="C44" s="105" t="e">
        <f aca="false">#REF!&amp;" ("&amp;B44&amp;")"</f>
        <v>#REF!</v>
      </c>
    </row>
    <row r="45" customFormat="false" ht="12.8" hidden="false" customHeight="false" outlineLevel="0" collapsed="false">
      <c r="A45" s="7"/>
      <c r="B45" s="107" t="s">
        <v>157</v>
      </c>
      <c r="C45" s="105" t="e">
        <f aca="false">#REF!&amp;" ("&amp;B45&amp;")"</f>
        <v>#REF!</v>
      </c>
    </row>
    <row r="46" customFormat="false" ht="12.8" hidden="false" customHeight="false" outlineLevel="0" collapsed="false">
      <c r="A46" s="7"/>
      <c r="B46" s="105" t="s">
        <v>136</v>
      </c>
      <c r="C46" s="105" t="e">
        <f aca="false">#REF!&amp;" ("&amp;B46&amp;")"</f>
        <v>#REF!</v>
      </c>
    </row>
    <row r="47" customFormat="false" ht="12.8" hidden="false" customHeight="false" outlineLevel="0" collapsed="false">
      <c r="A47" s="7"/>
      <c r="B47" s="112"/>
      <c r="C47" s="7"/>
    </row>
    <row r="48" customFormat="false" ht="16.4" hidden="false" customHeight="true" outlineLevel="0" collapsed="false">
      <c r="A48" s="7"/>
      <c r="B48" s="123" t="s">
        <v>189</v>
      </c>
      <c r="C48" s="123"/>
    </row>
    <row r="49" customFormat="false" ht="13.8" hidden="false" customHeight="false" outlineLevel="0" collapsed="false">
      <c r="A49" s="7"/>
      <c r="B49" s="114" t="s">
        <v>131</v>
      </c>
      <c r="C49" s="103" t="s">
        <v>133</v>
      </c>
    </row>
    <row r="50" customFormat="false" ht="12.8" hidden="false" customHeight="false" outlineLevel="0" collapsed="false">
      <c r="A50" s="7"/>
      <c r="B50" s="105" t="s">
        <v>163</v>
      </c>
      <c r="C50" s="105" t="e">
        <f aca="false">#REF!&amp;" ("&amp;B50&amp;")"</f>
        <v>#REF!</v>
      </c>
    </row>
    <row r="51" customFormat="false" ht="12.8" hidden="false" customHeight="false" outlineLevel="0" collapsed="false">
      <c r="A51" s="7"/>
      <c r="B51" s="107" t="s">
        <v>157</v>
      </c>
      <c r="C51" s="105" t="e">
        <f aca="false">#REF!&amp;" ("&amp;B51&amp;")"</f>
        <v>#REF!</v>
      </c>
    </row>
    <row r="52" customFormat="false" ht="12.8" hidden="false" customHeight="false" outlineLevel="0" collapsed="false">
      <c r="A52" s="7"/>
      <c r="B52" s="105" t="s">
        <v>136</v>
      </c>
      <c r="C52" s="105" t="e">
        <f aca="false">#REF!&amp;" ("&amp;B52&amp;")"</f>
        <v>#REF!</v>
      </c>
    </row>
    <row r="53" customFormat="false" ht="12.8" hidden="false" customHeight="false" outlineLevel="0" collapsed="false">
      <c r="A53" s="7"/>
      <c r="B53" s="112"/>
      <c r="C53" s="7"/>
    </row>
    <row r="54" customFormat="false" ht="16.4" hidden="false" customHeight="true" outlineLevel="0" collapsed="false">
      <c r="A54" s="7"/>
      <c r="B54" s="123" t="s">
        <v>190</v>
      </c>
      <c r="C54" s="123"/>
    </row>
    <row r="55" customFormat="false" ht="13.8" hidden="false" customHeight="false" outlineLevel="0" collapsed="false">
      <c r="A55" s="7"/>
      <c r="B55" s="114" t="s">
        <v>131</v>
      </c>
      <c r="C55" s="103" t="s">
        <v>133</v>
      </c>
    </row>
    <row r="56" customFormat="false" ht="12.8" hidden="false" customHeight="false" outlineLevel="0" collapsed="false">
      <c r="A56" s="7"/>
      <c r="B56" s="105" t="s">
        <v>163</v>
      </c>
      <c r="C56" s="105" t="e">
        <f aca="false">#REF!&amp;" ("&amp;B56&amp;")"</f>
        <v>#REF!</v>
      </c>
    </row>
    <row r="57" customFormat="false" ht="12.8" hidden="false" customHeight="false" outlineLevel="0" collapsed="false">
      <c r="A57" s="7"/>
      <c r="B57" s="107" t="s">
        <v>157</v>
      </c>
      <c r="C57" s="105" t="e">
        <f aca="false">#REF!&amp;" ("&amp;B57&amp;")"</f>
        <v>#REF!</v>
      </c>
    </row>
    <row r="58" customFormat="false" ht="12.8" hidden="false" customHeight="false" outlineLevel="0" collapsed="false">
      <c r="A58" s="7"/>
      <c r="B58" s="105" t="s">
        <v>136</v>
      </c>
      <c r="C58" s="105" t="e">
        <f aca="false">#REF!&amp;" ("&amp;B58&amp;")"</f>
        <v>#REF!</v>
      </c>
    </row>
    <row r="59" customFormat="false" ht="12.8" hidden="false" customHeight="false" outlineLevel="0" collapsed="false">
      <c r="A59" s="7"/>
      <c r="B59" s="112"/>
      <c r="C59" s="7"/>
    </row>
    <row r="60" customFormat="false" ht="16.4" hidden="false" customHeight="true" outlineLevel="0" collapsed="false">
      <c r="A60" s="7"/>
      <c r="B60" s="123" t="s">
        <v>191</v>
      </c>
      <c r="C60" s="123"/>
    </row>
    <row r="61" customFormat="false" ht="13.8" hidden="false" customHeight="false" outlineLevel="0" collapsed="false">
      <c r="A61" s="7"/>
      <c r="B61" s="114" t="s">
        <v>131</v>
      </c>
      <c r="C61" s="103" t="s">
        <v>133</v>
      </c>
    </row>
    <row r="62" customFormat="false" ht="12.8" hidden="false" customHeight="false" outlineLevel="0" collapsed="false">
      <c r="A62" s="7"/>
      <c r="B62" s="105" t="s">
        <v>163</v>
      </c>
      <c r="C62" s="105" t="e">
        <f aca="false">#REF!&amp;" ("&amp;B62&amp;")"</f>
        <v>#REF!</v>
      </c>
    </row>
    <row r="63" customFormat="false" ht="12.8" hidden="false" customHeight="false" outlineLevel="0" collapsed="false">
      <c r="A63" s="7"/>
      <c r="B63" s="107" t="s">
        <v>157</v>
      </c>
      <c r="C63" s="105" t="e">
        <f aca="false">#REF!&amp;" ("&amp;B63&amp;")"</f>
        <v>#REF!</v>
      </c>
    </row>
    <row r="64" customFormat="false" ht="12.8" hidden="false" customHeight="false" outlineLevel="0" collapsed="false">
      <c r="A64" s="7"/>
      <c r="B64" s="105" t="s">
        <v>136</v>
      </c>
      <c r="C64" s="105" t="e">
        <f aca="false">#REF!&amp;" ("&amp;B64&amp;")"</f>
        <v>#REF!</v>
      </c>
    </row>
    <row r="65" customFormat="false" ht="12.8" hidden="false" customHeight="false" outlineLevel="0" collapsed="false">
      <c r="A65" s="7"/>
      <c r="B65" s="112"/>
      <c r="C65" s="7"/>
    </row>
    <row r="66" customFormat="false" ht="16.4" hidden="false" customHeight="true" outlineLevel="0" collapsed="false">
      <c r="A66" s="7"/>
      <c r="B66" s="123" t="s">
        <v>192</v>
      </c>
      <c r="C66" s="123"/>
    </row>
    <row r="67" customFormat="false" ht="13.8" hidden="false" customHeight="false" outlineLevel="0" collapsed="false">
      <c r="A67" s="7"/>
      <c r="B67" s="114" t="s">
        <v>131</v>
      </c>
      <c r="C67" s="103" t="s">
        <v>133</v>
      </c>
    </row>
    <row r="68" customFormat="false" ht="12.8" hidden="false" customHeight="false" outlineLevel="0" collapsed="false">
      <c r="A68" s="7"/>
      <c r="B68" s="105" t="s">
        <v>163</v>
      </c>
      <c r="C68" s="105" t="e">
        <f aca="false">#REF!&amp;" ("&amp;B68&amp;")"</f>
        <v>#REF!</v>
      </c>
    </row>
    <row r="69" customFormat="false" ht="12.8" hidden="false" customHeight="false" outlineLevel="0" collapsed="false">
      <c r="A69" s="7"/>
      <c r="B69" s="107" t="s">
        <v>157</v>
      </c>
      <c r="C69" s="105" t="e">
        <f aca="false">#REF!&amp;" ("&amp;B69&amp;")"</f>
        <v>#REF!</v>
      </c>
    </row>
    <row r="70" customFormat="false" ht="12.8" hidden="false" customHeight="false" outlineLevel="0" collapsed="false">
      <c r="A70" s="7"/>
      <c r="B70" s="105" t="s">
        <v>136</v>
      </c>
      <c r="C70" s="105" t="e">
        <f aca="false">#REF!&amp;" ("&amp;B70&amp;")"</f>
        <v>#REF!</v>
      </c>
    </row>
    <row r="71" customFormat="false" ht="12.8" hidden="false" customHeight="false" outlineLevel="0" collapsed="false">
      <c r="A71" s="7"/>
      <c r="B71" s="112"/>
      <c r="C71" s="7"/>
    </row>
    <row r="72" customFormat="false" ht="16.4" hidden="false" customHeight="true" outlineLevel="0" collapsed="false">
      <c r="A72" s="7"/>
      <c r="B72" s="123" t="s">
        <v>73</v>
      </c>
      <c r="C72" s="123"/>
    </row>
    <row r="73" customFormat="false" ht="13.8" hidden="false" customHeight="false" outlineLevel="0" collapsed="false">
      <c r="A73" s="7"/>
      <c r="B73" s="114" t="s">
        <v>131</v>
      </c>
      <c r="C73" s="103" t="s">
        <v>133</v>
      </c>
    </row>
    <row r="74" customFormat="false" ht="12.8" hidden="false" customHeight="false" outlineLevel="0" collapsed="false">
      <c r="A74" s="7"/>
      <c r="B74" s="105" t="s">
        <v>153</v>
      </c>
      <c r="C74" s="105" t="e">
        <f aca="false">#REF!&amp;" ("&amp;B74&amp;")"</f>
        <v>#REF!</v>
      </c>
    </row>
    <row r="75" customFormat="false" ht="12.8" hidden="false" customHeight="false" outlineLevel="0" collapsed="false">
      <c r="A75" s="7"/>
      <c r="B75" s="107" t="s">
        <v>155</v>
      </c>
      <c r="C75" s="105" t="e">
        <f aca="false">#REF!&amp;" ("&amp;B75&amp;")"</f>
        <v>#REF!</v>
      </c>
    </row>
    <row r="76" customFormat="false" ht="12.8" hidden="false" customHeight="false" outlineLevel="0" collapsed="false">
      <c r="A76" s="7"/>
      <c r="B76" s="105" t="s">
        <v>159</v>
      </c>
      <c r="C76" s="105" t="e">
        <f aca="false">#REF!&amp;" ("&amp;B76&amp;")"</f>
        <v>#REF!</v>
      </c>
    </row>
    <row r="77" customFormat="false" ht="12.8" hidden="false" customHeight="false" outlineLevel="0" collapsed="false">
      <c r="A77" s="7"/>
      <c r="B77" s="107" t="s">
        <v>166</v>
      </c>
      <c r="C77" s="105" t="e">
        <f aca="false">#REF!&amp;" ("&amp;B77&amp;")"</f>
        <v>#REF!</v>
      </c>
    </row>
    <row r="78" customFormat="false" ht="12.8" hidden="false" customHeight="false" outlineLevel="0" collapsed="false">
      <c r="A78" s="7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1904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2026-07-20T22:55:15Z</dcterms:modified>
  <cp:revision>97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